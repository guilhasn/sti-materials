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nuno_salvador_ipleiria_pt/Documents/2025-2026/MAP/Práticas/Ficha Prática 2 - Excel/"/>
    </mc:Choice>
  </mc:AlternateContent>
  <xr:revisionPtr revIDLastSave="7" documentId="11_108DEAE15D20348CDF9D9313D5DB9C03305C609F" xr6:coauthVersionLast="47" xr6:coauthVersionMax="47" xr10:uidLastSave="{8DF2DCD6-C30D-4D25-B7CF-6B51B6A2535A}"/>
  <bookViews>
    <workbookView xWindow="-108" yWindow="-108" windowWidth="23256" windowHeight="13896" tabRatio="500" activeTab="1" xr2:uid="{00000000-000D-0000-FFFF-FFFF00000000}"/>
  </bookViews>
  <sheets>
    <sheet name="Mapa_Pessoal" sheetId="1" r:id="rId1"/>
    <sheet name="Análise" sheetId="2" r:id="rId2"/>
    <sheet name="Resolução_Docente" sheetId="3" state="hidden" r:id="rId3"/>
  </sheets>
  <definedNames>
    <definedName name="_xlnm._FilterDatabase" localSheetId="0" hidden="1">Mapa_Pessoal!$A$1:$M$76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B13" i="3"/>
  <c r="B11" i="3"/>
  <c r="B9" i="3"/>
  <c r="B8" i="3"/>
  <c r="B4" i="3"/>
  <c r="B3" i="3"/>
  <c r="B12" i="2"/>
  <c r="D12" i="2" l="1"/>
  <c r="C12" i="2"/>
  <c r="E12" i="2" l="1"/>
</calcChain>
</file>

<file path=xl/sharedStrings.xml><?xml version="1.0" encoding="utf-8"?>
<sst xmlns="http://schemas.openxmlformats.org/spreadsheetml/2006/main" count="608" uniqueCount="224">
  <si>
    <t>ID_Trabalhador</t>
  </si>
  <si>
    <t>Nome</t>
  </si>
  <si>
    <t>Género</t>
  </si>
  <si>
    <t>Ano_Nascimento</t>
  </si>
  <si>
    <t>Idade</t>
  </si>
  <si>
    <t>Categoria</t>
  </si>
  <si>
    <t>Vínculo</t>
  </si>
  <si>
    <t>Serviço</t>
  </si>
  <si>
    <t>Antiguidade_Anos</t>
  </si>
  <si>
    <t>Salário_Bruto_Mensal</t>
  </si>
  <si>
    <t>Dias_Ausência_2023</t>
  </si>
  <si>
    <t>Avaliação_SIADAP</t>
  </si>
  <si>
    <t>Aposentação_Prevista_5anos</t>
  </si>
  <si>
    <t>TRB014</t>
  </si>
  <si>
    <t>Rita Rodrigues</t>
  </si>
  <si>
    <t>F</t>
  </si>
  <si>
    <t>Assistente Técnico</t>
  </si>
  <si>
    <t>Contrato a Termo Resolutivo Incerto</t>
  </si>
  <si>
    <t>Urbanismo e Planeamento</t>
  </si>
  <si>
    <t>Não</t>
  </si>
  <si>
    <t>TRB065</t>
  </si>
  <si>
    <t>Tiago Sousa</t>
  </si>
  <si>
    <t>M</t>
  </si>
  <si>
    <t>Dirigente Intermédio II</t>
  </si>
  <si>
    <t>Contrato Emprego Público</t>
  </si>
  <si>
    <t>Sim</t>
  </si>
  <si>
    <t>TRB022</t>
  </si>
  <si>
    <t>André Lopes</t>
  </si>
  <si>
    <t>Recursos Humanos</t>
  </si>
  <si>
    <t>TRB052</t>
  </si>
  <si>
    <t>Amélia Coelho</t>
  </si>
  <si>
    <t>Técnico Superior</t>
  </si>
  <si>
    <t>Contrato a Termo Resolutivo Certo</t>
  </si>
  <si>
    <t>Informática e Modernização</t>
  </si>
  <si>
    <t>TRB019</t>
  </si>
  <si>
    <t>Marta Sousa</t>
  </si>
  <si>
    <t>Educação</t>
  </si>
  <si>
    <t>TRB063</t>
  </si>
  <si>
    <t>Paulo Martins</t>
  </si>
  <si>
    <t>Coordenador Técnico</t>
  </si>
  <si>
    <t>Nomeação Definitiva</t>
  </si>
  <si>
    <t>Ação Social</t>
  </si>
  <si>
    <t>TRB013</t>
  </si>
  <si>
    <t>TRB044</t>
  </si>
  <si>
    <t>Daniela Neves</t>
  </si>
  <si>
    <t>TRB043</t>
  </si>
  <si>
    <t>Andreia Correia</t>
  </si>
  <si>
    <t>Finanças Municipais</t>
  </si>
  <si>
    <t>TRB035</t>
  </si>
  <si>
    <t>Beatriz Mendes</t>
  </si>
  <si>
    <t>Assistente Operacional</t>
  </si>
  <si>
    <t>TRB012</t>
  </si>
  <si>
    <t>Manuel Pereira</t>
  </si>
  <si>
    <t>TRB060</t>
  </si>
  <si>
    <t>Rui Oliveira</t>
  </si>
  <si>
    <t>TRB068</t>
  </si>
  <si>
    <t>Ricardo Alves</t>
  </si>
  <si>
    <t>TRB011</t>
  </si>
  <si>
    <t>Teresa Oliveira</t>
  </si>
  <si>
    <t>TRB075</t>
  </si>
  <si>
    <t>Diogo Mendes</t>
  </si>
  <si>
    <t>Dirigente Intermédio I</t>
  </si>
  <si>
    <t>TRB008</t>
  </si>
  <si>
    <t>Carlos Santos</t>
  </si>
  <si>
    <t>TRB050</t>
  </si>
  <si>
    <t>Conceição Castro</t>
  </si>
  <si>
    <t>TRB072</t>
  </si>
  <si>
    <t>Bruno Rocha</t>
  </si>
  <si>
    <t>TRB026</t>
  </si>
  <si>
    <t>Sandra Cunha</t>
  </si>
  <si>
    <t>TRB046</t>
  </si>
  <si>
    <t>Graça Teixeira</t>
  </si>
  <si>
    <t>TRB070</t>
  </si>
  <si>
    <t>Fábio Cunha</t>
  </si>
  <si>
    <t>TRB057</t>
  </si>
  <si>
    <t>Pedro Costa</t>
  </si>
  <si>
    <t>Obras Municipais</t>
  </si>
  <si>
    <t>TRB021</t>
  </si>
  <si>
    <t>Susana Lopes</t>
  </si>
  <si>
    <t>TRB029</t>
  </si>
  <si>
    <t>Vera Rocha</t>
  </si>
  <si>
    <t>TRB054</t>
  </si>
  <si>
    <t>Natália Baptista</t>
  </si>
  <si>
    <t>TRB047</t>
  </si>
  <si>
    <t>TRB055</t>
  </si>
  <si>
    <t>Glória Macedo</t>
  </si>
  <si>
    <t>TRB024</t>
  </si>
  <si>
    <t>Patrícia Alves</t>
  </si>
  <si>
    <t>TRB007</t>
  </si>
  <si>
    <t>Miguel Ferreira</t>
  </si>
  <si>
    <t>TRB061</t>
  </si>
  <si>
    <t>António Rodrigues</t>
  </si>
  <si>
    <t>TRB001</t>
  </si>
  <si>
    <t>João Silva</t>
  </si>
  <si>
    <t>TRB066</t>
  </si>
  <si>
    <t>TRB040</t>
  </si>
  <si>
    <t>Hugo Barros</t>
  </si>
  <si>
    <t>TRB059</t>
  </si>
  <si>
    <t>TRB039</t>
  </si>
  <si>
    <t>Marco Azevedo</t>
  </si>
  <si>
    <t>TRB051</t>
  </si>
  <si>
    <t>Celeste Borges</t>
  </si>
  <si>
    <t>TRB045</t>
  </si>
  <si>
    <t>Paula Monteiro</t>
  </si>
  <si>
    <t>TRB030</t>
  </si>
  <si>
    <t>TRB058</t>
  </si>
  <si>
    <t>TRB003</t>
  </si>
  <si>
    <t>Maria Costa</t>
  </si>
  <si>
    <t>Ambiente e Energia</t>
  </si>
  <si>
    <t>TRB033</t>
  </si>
  <si>
    <t>Sérgio Pinto</t>
  </si>
  <si>
    <t>TRB062</t>
  </si>
  <si>
    <t>TRB056</t>
  </si>
  <si>
    <t>TRB049</t>
  </si>
  <si>
    <t>Rosa Pires</t>
  </si>
  <si>
    <t>TRB005</t>
  </si>
  <si>
    <t>TRB042</t>
  </si>
  <si>
    <t>Liliana Gomes</t>
  </si>
  <si>
    <t>TRB074</t>
  </si>
  <si>
    <t>TRB015</t>
  </si>
  <si>
    <t>Inês Pereira</t>
  </si>
  <si>
    <t>TRB032</t>
  </si>
  <si>
    <t>Helena Barros</t>
  </si>
  <si>
    <t>TRB002</t>
  </si>
  <si>
    <t>Ana Silva</t>
  </si>
  <si>
    <t>TRB023</t>
  </si>
  <si>
    <t>Filipa Marques</t>
  </si>
  <si>
    <t>TRB006</t>
  </si>
  <si>
    <t>Carla Santos</t>
  </si>
  <si>
    <t>TRB025</t>
  </si>
  <si>
    <t>Raquel Pinto</t>
  </si>
  <si>
    <t>TRB048</t>
  </si>
  <si>
    <t>Lurdes Vieira</t>
  </si>
  <si>
    <t>TRB028</t>
  </si>
  <si>
    <t>Cláudia Ribeiro</t>
  </si>
  <si>
    <t>TRB020</t>
  </si>
  <si>
    <t>TRB067</t>
  </si>
  <si>
    <t>Nuno Marques</t>
  </si>
  <si>
    <t>TRB009</t>
  </si>
  <si>
    <t>TRB071</t>
  </si>
  <si>
    <t>Gonçalo Ribeiro</t>
  </si>
  <si>
    <t>TRB064</t>
  </si>
  <si>
    <t>Luís Carvalho</t>
  </si>
  <si>
    <t>TRB027</t>
  </si>
  <si>
    <t>TRB073</t>
  </si>
  <si>
    <t>TRB010</t>
  </si>
  <si>
    <t>TRB034</t>
  </si>
  <si>
    <t>TRB004</t>
  </si>
  <si>
    <t>Sofia Ferreira</t>
  </si>
  <si>
    <t>TRB037</t>
  </si>
  <si>
    <t>TRB069</t>
  </si>
  <si>
    <t>TRB018</t>
  </si>
  <si>
    <t>TRB017</t>
  </si>
  <si>
    <t>Joana Carvalho</t>
  </si>
  <si>
    <t>TRB053</t>
  </si>
  <si>
    <t>Fernanda Simões</t>
  </si>
  <si>
    <t>TRB036</t>
  </si>
  <si>
    <t>TRB038</t>
  </si>
  <si>
    <t>Mónica Dias</t>
  </si>
  <si>
    <t>TRB016</t>
  </si>
  <si>
    <t>Catarina Martins</t>
  </si>
  <si>
    <t>TRB031</t>
  </si>
  <si>
    <t>Cristina Azevedo</t>
  </si>
  <si>
    <t>TRB041</t>
  </si>
  <si>
    <t>Rute Fernandes</t>
  </si>
  <si>
    <t>SECÇÃO A — Trabalhadores e Massa Salarial por Categoria (Exercícios 1 e 2)</t>
  </si>
  <si>
    <t>Nº Trabalhadores</t>
  </si>
  <si>
    <t>Massa Salarial Mensal (€)</t>
  </si>
  <si>
    <t>Massa Salarial Anual (€)</t>
  </si>
  <si>
    <t>% do Total</t>
  </si>
  <si>
    <t>TOTAL</t>
  </si>
  <si>
    <t>SECÇÃO B — Indicadores Estatísticos (Exercício 3)</t>
  </si>
  <si>
    <t>Indicador</t>
  </si>
  <si>
    <t>Resultado</t>
  </si>
  <si>
    <t>Fórmula a usar</t>
  </si>
  <si>
    <t>Média de salário bruto mensal (todos)</t>
  </si>
  <si>
    <t>MÉDIA</t>
  </si>
  <si>
    <t>Média de dias de ausência (todos)</t>
  </si>
  <si>
    <t>Média de avaliação SIADAP</t>
  </si>
  <si>
    <t>Nº trabalhadores com aposentação prevista</t>
  </si>
  <si>
    <t>CONTAR.SE</t>
  </si>
  <si>
    <t>Nº trabalhadores com vínculo precário (termo)</t>
  </si>
  <si>
    <t>Nº trabalhadores com ausência &gt; 10 dias</t>
  </si>
  <si>
    <t>Massa salarial anual dos que vão aposentar</t>
  </si>
  <si>
    <t>SOMASE</t>
  </si>
  <si>
    <t>SECÇÃO C — Classificar Trabalhadores por Absentismo com SE (Exercício 4 — em Mapa_Pessoal)</t>
  </si>
  <si>
    <t>Criar coluna N: 'Nível_Absentismo' em Mapa_Pessoal usando SE aninhado</t>
  </si>
  <si>
    <t>Critério: SE Dias_Ausência_2023 &gt; 15 → "Elevado"  |  SE &gt; 7 → "Moderado"  |  caso contrário → "Normal"</t>
  </si>
  <si>
    <t>Fórmula (Excel PT):  =SE(K2&gt;15;"Elevado";SE(K2&gt;7;"Moderado";"Normal"))   ← arrastar até N76</t>
  </si>
  <si>
    <t>SECÇÃO D — Perguntas de Gestão para o Vereador (Exercício 5)</t>
  </si>
  <si>
    <t>1.  Qual a categoria com maior peso na massa salarial total? É proporcional ao número de trabalhadores?</t>
  </si>
  <si>
    <t>2.  Qual o serviço com maior concentração de vínculos precários? Que risco representa para a continuidade?</t>
  </si>
  <si>
    <t>3.  Quantos trabalhadores têm aposentação prevista? Que poupança potencial representa se não forem substituídos?</t>
  </si>
  <si>
    <t>4.  Com base no nível de absentismo, identifica um serviço ou categoria prioritária para intervenção.</t>
  </si>
  <si>
    <t>RESOLUÇÃO — APENAS PARA DOCENTE</t>
  </si>
  <si>
    <t>EX.1 — CONTAR.SE por categoria</t>
  </si>
  <si>
    <t>EX.2 — SOMASE massa mensal</t>
  </si>
  <si>
    <t>EX.2 — Anual</t>
  </si>
  <si>
    <t xml:space="preserve"> =C6*12  (multiplicar coluna C por 12)</t>
  </si>
  <si>
    <t>EX.2 — % total</t>
  </si>
  <si>
    <t xml:space="preserve"> =D6/SUM($D$6:$D$11)  — usar $ absolutos no denominador</t>
  </si>
  <si>
    <t>EX.3 — MÉDIA salário</t>
  </si>
  <si>
    <t>EX.3 — MÉDIA ausências</t>
  </si>
  <si>
    <t>EX.3 — MÉDIA SIADAP</t>
  </si>
  <si>
    <t xml:space="preserve"> =AVERAGE(Mapa_Pessoal!L2:L76)  — excluir cabeçalho; células vazias (dirigentes) são ignoradas</t>
  </si>
  <si>
    <t>EX.3 — CONTAR.SE aposentação</t>
  </si>
  <si>
    <t>EX.3 — CONTAR.SE vínculos termo</t>
  </si>
  <si>
    <t xml:space="preserve"> =COUNTIF(Mapa_Pessoal!G:G,"*Termo*")  — wildcard * apanha ambos os tipos de contrato a termo</t>
  </si>
  <si>
    <t>EX.3 — CONTAR.SE ausência&gt;10</t>
  </si>
  <si>
    <t>EX.3 — SOMASE aposentação anual</t>
  </si>
  <si>
    <t>EX.4 — SE Nível_Absentismo (N2)</t>
  </si>
  <si>
    <t xml:space="preserve"> =SE(K2&gt;15;"Elevado";SE(K2&gt;7;"Moderado";"Normal"))  — arrastar até N76</t>
  </si>
  <si>
    <t xml:space="preserve">  Nota:</t>
  </si>
  <si>
    <t>Limiares 15/7 são sugestão — os alunos podem justificar outros critérios</t>
  </si>
  <si>
    <t>EX.5 — Respostas orientadas:</t>
  </si>
  <si>
    <t>Maior peso salarial:</t>
  </si>
  <si>
    <t>Técnico Superior ou Assistente Técnico — comparar col D e E</t>
  </si>
  <si>
    <t>Vínculos precários:</t>
  </si>
  <si>
    <t>Usar Tabela Dinâmica: Serviço x Vínculo; filtrar 'Termo'</t>
  </si>
  <si>
    <t>Aposentações — poupança:</t>
  </si>
  <si>
    <t>COUNTIF col M = 'Sim'; SOMASE col J x col M = valor anual</t>
  </si>
  <si>
    <t>Absentismo por serviço:</t>
  </si>
  <si>
    <t>Tabela Dinâmica: Serviço x Nível_Absentismo (col N criada no EX4)</t>
  </si>
  <si>
    <t>ANÁLISE DO MAPA DE PESSOAL —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</si>
</sst>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€&quot;"/>
    <numFmt numFmtId="165" formatCode="0.0"/>
    <numFmt numFmtId="166" formatCode="#,##0&quot; €&quot;"/>
    <numFmt numFmtId="167" formatCode="0.0%"/>
  </numFmts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E4FA0"/>
      <name val="Arial"/>
      <charset val="1"/>
    </font>
    <font>
      <i/>
      <sz val="10"/>
      <color rgb="FF6B7C99"/>
      <name val="Arial"/>
      <charset val="1"/>
    </font>
    <font>
      <b/>
      <sz val="11"/>
      <color rgb="FFFFFFFF"/>
      <name val="Arial"/>
      <charset val="1"/>
    </font>
    <font>
      <b/>
      <sz val="10"/>
      <color rgb="FF1E4FA0"/>
      <name val="Arial"/>
      <charset val="1"/>
    </font>
    <font>
      <sz val="10"/>
      <color rgb="FF1E4FA0"/>
      <name val="Arial"/>
      <charset val="1"/>
    </font>
    <font>
      <b/>
      <sz val="10"/>
      <name val="Arial"/>
      <charset val="1"/>
    </font>
    <font>
      <sz val="10"/>
      <color rgb="FF6B7C99"/>
      <name val="Arial"/>
      <charset val="1"/>
    </font>
    <font>
      <sz val="10"/>
      <color rgb="FF2D2D2D"/>
      <name val="Arial"/>
      <charset val="1"/>
    </font>
    <font>
      <b/>
      <sz val="13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E4FA0"/>
        <bgColor rgb="FF1B3A6B"/>
      </patternFill>
    </fill>
    <fill>
      <patternFill patternType="solid">
        <fgColor rgb="FFEEF2FA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0D8EC"/>
        <bgColor rgb="FFCCCCCC"/>
      </patternFill>
    </fill>
    <fill>
      <patternFill patternType="solid">
        <fgColor rgb="FF1B3A6B"/>
        <bgColor rgb="FF1E4FA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167" fontId="8" fillId="6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0" fillId="7" borderId="0" xfId="0" applyFill="1"/>
    <xf numFmtId="0" fontId="10" fillId="5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1" fillId="8" borderId="0" xfId="0" applyFont="1" applyFill="1"/>
    <xf numFmtId="0" fontId="2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7C99"/>
      <rgbColor rgb="FF9999FF"/>
      <rgbColor rgb="FF993366"/>
      <rgbColor rgb="FFF7F9FC"/>
      <rgbColor rgb="FFEEF2FA"/>
      <rgbColor rgb="FF660066"/>
      <rgbColor rgb="FFFF8080"/>
      <rgbColor rgb="FF0066CC"/>
      <rgbColor rgb="FFD0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6" customWidth="1"/>
    <col min="3" max="3" width="8" customWidth="1"/>
    <col min="4" max="4" width="16" customWidth="1"/>
    <col min="5" max="5" width="7" customWidth="1"/>
    <col min="6" max="6" width="24" customWidth="1"/>
    <col min="7" max="7" width="34" customWidth="1"/>
    <col min="8" max="8" width="26" customWidth="1"/>
    <col min="9" max="9" width="18" customWidth="1"/>
    <col min="10" max="10" width="22" customWidth="1"/>
    <col min="11" max="11" width="20" customWidth="1"/>
    <col min="12" max="12" width="18" customWidth="1"/>
    <col min="13" max="13" width="26" customWidth="1"/>
  </cols>
  <sheetData>
    <row r="1" spans="1:1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">
      <c r="A2" s="2" t="s">
        <v>13</v>
      </c>
      <c r="B2" s="3" t="s">
        <v>14</v>
      </c>
      <c r="C2" s="2" t="s">
        <v>15</v>
      </c>
      <c r="D2" s="2">
        <v>1972</v>
      </c>
      <c r="E2" s="2">
        <v>52</v>
      </c>
      <c r="F2" s="3" t="s">
        <v>16</v>
      </c>
      <c r="G2" s="3" t="s">
        <v>17</v>
      </c>
      <c r="H2" s="3" t="s">
        <v>18</v>
      </c>
      <c r="I2" s="2">
        <v>21</v>
      </c>
      <c r="J2" s="4">
        <v>1227.1300000000001</v>
      </c>
      <c r="K2" s="2">
        <v>8</v>
      </c>
      <c r="L2" s="5">
        <v>9.5</v>
      </c>
      <c r="M2" s="2" t="s">
        <v>19</v>
      </c>
    </row>
    <row r="3" spans="1:13" ht="15" customHeight="1" x14ac:dyDescent="0.3">
      <c r="A3" s="6" t="s">
        <v>20</v>
      </c>
      <c r="B3" s="7" t="s">
        <v>21</v>
      </c>
      <c r="C3" s="6" t="s">
        <v>22</v>
      </c>
      <c r="D3" s="6">
        <v>1963</v>
      </c>
      <c r="E3" s="6">
        <v>61</v>
      </c>
      <c r="F3" s="7" t="s">
        <v>23</v>
      </c>
      <c r="G3" s="7" t="s">
        <v>24</v>
      </c>
      <c r="H3" s="7" t="s">
        <v>18</v>
      </c>
      <c r="I3" s="6">
        <v>28</v>
      </c>
      <c r="J3" s="8">
        <v>2221.92</v>
      </c>
      <c r="K3" s="6">
        <v>4</v>
      </c>
      <c r="L3" s="9"/>
      <c r="M3" s="6" t="s">
        <v>25</v>
      </c>
    </row>
    <row r="4" spans="1:13" ht="15" customHeight="1" x14ac:dyDescent="0.3">
      <c r="A4" s="2" t="s">
        <v>26</v>
      </c>
      <c r="B4" s="3" t="s">
        <v>27</v>
      </c>
      <c r="C4" s="2" t="s">
        <v>22</v>
      </c>
      <c r="D4" s="2">
        <v>1964</v>
      </c>
      <c r="E4" s="2">
        <v>60</v>
      </c>
      <c r="F4" s="3" t="s">
        <v>16</v>
      </c>
      <c r="G4" s="3" t="s">
        <v>24</v>
      </c>
      <c r="H4" s="3" t="s">
        <v>28</v>
      </c>
      <c r="I4" s="2">
        <v>20</v>
      </c>
      <c r="J4" s="4">
        <v>1266.0999999999999</v>
      </c>
      <c r="K4" s="2">
        <v>5</v>
      </c>
      <c r="L4" s="5">
        <v>10</v>
      </c>
      <c r="M4" s="2" t="s">
        <v>25</v>
      </c>
    </row>
    <row r="5" spans="1:13" ht="15" customHeight="1" x14ac:dyDescent="0.3">
      <c r="A5" s="6" t="s">
        <v>29</v>
      </c>
      <c r="B5" s="7" t="s">
        <v>30</v>
      </c>
      <c r="C5" s="6" t="s">
        <v>15</v>
      </c>
      <c r="D5" s="6">
        <v>1989</v>
      </c>
      <c r="E5" s="6">
        <v>35</v>
      </c>
      <c r="F5" s="7" t="s">
        <v>31</v>
      </c>
      <c r="G5" s="7" t="s">
        <v>32</v>
      </c>
      <c r="H5" s="7" t="s">
        <v>33</v>
      </c>
      <c r="I5" s="6">
        <v>7</v>
      </c>
      <c r="J5" s="8">
        <v>1655.43</v>
      </c>
      <c r="K5" s="6">
        <v>2</v>
      </c>
      <c r="L5" s="9">
        <v>9.5</v>
      </c>
      <c r="M5" s="6" t="s">
        <v>19</v>
      </c>
    </row>
    <row r="6" spans="1:13" ht="15" customHeight="1" x14ac:dyDescent="0.3">
      <c r="A6" s="2" t="s">
        <v>34</v>
      </c>
      <c r="B6" s="3" t="s">
        <v>35</v>
      </c>
      <c r="C6" s="2" t="s">
        <v>15</v>
      </c>
      <c r="D6" s="2">
        <v>1998</v>
      </c>
      <c r="E6" s="2">
        <v>26</v>
      </c>
      <c r="F6" s="3" t="s">
        <v>16</v>
      </c>
      <c r="G6" s="3" t="s">
        <v>17</v>
      </c>
      <c r="H6" s="3" t="s">
        <v>36</v>
      </c>
      <c r="I6" s="2">
        <v>3</v>
      </c>
      <c r="J6" s="4">
        <v>1043.5999999999999</v>
      </c>
      <c r="K6" s="2">
        <v>9</v>
      </c>
      <c r="L6" s="5">
        <v>9.5</v>
      </c>
      <c r="M6" s="2" t="s">
        <v>19</v>
      </c>
    </row>
    <row r="7" spans="1:13" ht="15" customHeight="1" x14ac:dyDescent="0.3">
      <c r="A7" s="6" t="s">
        <v>37</v>
      </c>
      <c r="B7" s="7" t="s">
        <v>38</v>
      </c>
      <c r="C7" s="6" t="s">
        <v>15</v>
      </c>
      <c r="D7" s="6">
        <v>1990</v>
      </c>
      <c r="E7" s="6">
        <v>34</v>
      </c>
      <c r="F7" s="7" t="s">
        <v>39</v>
      </c>
      <c r="G7" s="7" t="s">
        <v>40</v>
      </c>
      <c r="H7" s="7" t="s">
        <v>41</v>
      </c>
      <c r="I7" s="6">
        <v>5</v>
      </c>
      <c r="J7" s="8">
        <v>1154.8</v>
      </c>
      <c r="K7" s="6">
        <v>2</v>
      </c>
      <c r="L7" s="9">
        <v>8.5</v>
      </c>
      <c r="M7" s="6" t="s">
        <v>19</v>
      </c>
    </row>
    <row r="8" spans="1:13" ht="15" customHeight="1" x14ac:dyDescent="0.3">
      <c r="A8" s="2" t="s">
        <v>42</v>
      </c>
      <c r="B8" s="3" t="s">
        <v>38</v>
      </c>
      <c r="C8" s="2" t="s">
        <v>22</v>
      </c>
      <c r="D8" s="2">
        <v>1981</v>
      </c>
      <c r="E8" s="2">
        <v>43</v>
      </c>
      <c r="F8" s="3" t="s">
        <v>16</v>
      </c>
      <c r="G8" s="3" t="s">
        <v>24</v>
      </c>
      <c r="H8" s="3" t="s">
        <v>18</v>
      </c>
      <c r="I8" s="2">
        <v>18</v>
      </c>
      <c r="J8" s="4">
        <v>1156.25</v>
      </c>
      <c r="K8" s="2">
        <v>11</v>
      </c>
      <c r="L8" s="5">
        <v>9.5</v>
      </c>
      <c r="M8" s="2" t="s">
        <v>19</v>
      </c>
    </row>
    <row r="9" spans="1:13" ht="15" customHeight="1" x14ac:dyDescent="0.3">
      <c r="A9" s="6" t="s">
        <v>43</v>
      </c>
      <c r="B9" s="7" t="s">
        <v>44</v>
      </c>
      <c r="C9" s="6" t="s">
        <v>15</v>
      </c>
      <c r="D9" s="6">
        <v>1988</v>
      </c>
      <c r="E9" s="6">
        <v>36</v>
      </c>
      <c r="F9" s="7" t="s">
        <v>31</v>
      </c>
      <c r="G9" s="7" t="s">
        <v>24</v>
      </c>
      <c r="H9" s="7" t="s">
        <v>41</v>
      </c>
      <c r="I9" s="6">
        <v>12</v>
      </c>
      <c r="J9" s="8">
        <v>1448.95</v>
      </c>
      <c r="K9" s="6">
        <v>12</v>
      </c>
      <c r="L9" s="9">
        <v>9</v>
      </c>
      <c r="M9" s="6" t="s">
        <v>19</v>
      </c>
    </row>
    <row r="10" spans="1:13" ht="15" customHeight="1" x14ac:dyDescent="0.3">
      <c r="A10" s="2" t="s">
        <v>45</v>
      </c>
      <c r="B10" s="3" t="s">
        <v>46</v>
      </c>
      <c r="C10" s="2" t="s">
        <v>15</v>
      </c>
      <c r="D10" s="2">
        <v>1968</v>
      </c>
      <c r="E10" s="2">
        <v>56</v>
      </c>
      <c r="F10" s="3" t="s">
        <v>31</v>
      </c>
      <c r="G10" s="3" t="s">
        <v>17</v>
      </c>
      <c r="H10" s="3" t="s">
        <v>47</v>
      </c>
      <c r="I10" s="2">
        <v>15</v>
      </c>
      <c r="J10" s="4">
        <v>1654.15</v>
      </c>
      <c r="K10" s="2">
        <v>7</v>
      </c>
      <c r="L10" s="5">
        <v>8</v>
      </c>
      <c r="M10" s="2" t="s">
        <v>19</v>
      </c>
    </row>
    <row r="11" spans="1:13" ht="15" customHeight="1" x14ac:dyDescent="0.3">
      <c r="A11" s="6" t="s">
        <v>48</v>
      </c>
      <c r="B11" s="7" t="s">
        <v>49</v>
      </c>
      <c r="C11" s="6" t="s">
        <v>15</v>
      </c>
      <c r="D11" s="6">
        <v>1986</v>
      </c>
      <c r="E11" s="6">
        <v>38</v>
      </c>
      <c r="F11" s="7" t="s">
        <v>50</v>
      </c>
      <c r="G11" s="7" t="s">
        <v>24</v>
      </c>
      <c r="H11" s="7" t="s">
        <v>47</v>
      </c>
      <c r="I11" s="6">
        <v>12</v>
      </c>
      <c r="J11" s="8">
        <v>983.88</v>
      </c>
      <c r="K11" s="6">
        <v>15</v>
      </c>
      <c r="L11" s="9">
        <v>7</v>
      </c>
      <c r="M11" s="6" t="s">
        <v>19</v>
      </c>
    </row>
    <row r="12" spans="1:13" ht="15" customHeight="1" x14ac:dyDescent="0.3">
      <c r="A12" s="2" t="s">
        <v>51</v>
      </c>
      <c r="B12" s="3" t="s">
        <v>52</v>
      </c>
      <c r="C12" s="2" t="s">
        <v>22</v>
      </c>
      <c r="D12" s="2">
        <v>1995</v>
      </c>
      <c r="E12" s="2">
        <v>29</v>
      </c>
      <c r="F12" s="3" t="s">
        <v>16</v>
      </c>
      <c r="G12" s="3" t="s">
        <v>17</v>
      </c>
      <c r="H12" s="3" t="s">
        <v>36</v>
      </c>
      <c r="I12" s="2">
        <v>7</v>
      </c>
      <c r="J12" s="4">
        <v>998.26</v>
      </c>
      <c r="K12" s="2">
        <v>12</v>
      </c>
      <c r="L12" s="5">
        <v>8.5</v>
      </c>
      <c r="M12" s="2" t="s">
        <v>19</v>
      </c>
    </row>
    <row r="13" spans="1:13" ht="15" customHeight="1" x14ac:dyDescent="0.3">
      <c r="A13" s="6" t="s">
        <v>53</v>
      </c>
      <c r="B13" s="7" t="s">
        <v>54</v>
      </c>
      <c r="C13" s="6" t="s">
        <v>15</v>
      </c>
      <c r="D13" s="6">
        <v>1976</v>
      </c>
      <c r="E13" s="6">
        <v>48</v>
      </c>
      <c r="F13" s="7" t="s">
        <v>39</v>
      </c>
      <c r="G13" s="7" t="s">
        <v>40</v>
      </c>
      <c r="H13" s="7" t="s">
        <v>36</v>
      </c>
      <c r="I13" s="6">
        <v>6</v>
      </c>
      <c r="J13" s="8">
        <v>1201.95</v>
      </c>
      <c r="K13" s="6">
        <v>4</v>
      </c>
      <c r="L13" s="9">
        <v>7.5</v>
      </c>
      <c r="M13" s="6" t="s">
        <v>19</v>
      </c>
    </row>
    <row r="14" spans="1:13" ht="15" customHeight="1" x14ac:dyDescent="0.3">
      <c r="A14" s="2" t="s">
        <v>55</v>
      </c>
      <c r="B14" s="3" t="s">
        <v>56</v>
      </c>
      <c r="C14" s="2" t="s">
        <v>15</v>
      </c>
      <c r="D14" s="2">
        <v>1960</v>
      </c>
      <c r="E14" s="2">
        <v>64</v>
      </c>
      <c r="F14" s="3" t="s">
        <v>23</v>
      </c>
      <c r="G14" s="3" t="s">
        <v>40</v>
      </c>
      <c r="H14" s="3" t="s">
        <v>33</v>
      </c>
      <c r="I14" s="2">
        <v>29</v>
      </c>
      <c r="J14" s="4">
        <v>2426.81</v>
      </c>
      <c r="K14" s="2">
        <v>0</v>
      </c>
      <c r="L14" s="5"/>
      <c r="M14" s="2" t="s">
        <v>25</v>
      </c>
    </row>
    <row r="15" spans="1:13" ht="15" customHeight="1" x14ac:dyDescent="0.3">
      <c r="A15" s="6" t="s">
        <v>57</v>
      </c>
      <c r="B15" s="7" t="s">
        <v>58</v>
      </c>
      <c r="C15" s="6" t="s">
        <v>15</v>
      </c>
      <c r="D15" s="6">
        <v>1978</v>
      </c>
      <c r="E15" s="6">
        <v>46</v>
      </c>
      <c r="F15" s="7" t="s">
        <v>16</v>
      </c>
      <c r="G15" s="7" t="s">
        <v>24</v>
      </c>
      <c r="H15" s="7" t="s">
        <v>28</v>
      </c>
      <c r="I15" s="6">
        <v>16</v>
      </c>
      <c r="J15" s="8">
        <v>1259.23</v>
      </c>
      <c r="K15" s="6">
        <v>13</v>
      </c>
      <c r="L15" s="9">
        <v>7</v>
      </c>
      <c r="M15" s="6" t="s">
        <v>19</v>
      </c>
    </row>
    <row r="16" spans="1:13" ht="15" customHeight="1" x14ac:dyDescent="0.3">
      <c r="A16" s="2" t="s">
        <v>59</v>
      </c>
      <c r="B16" s="3" t="s">
        <v>60</v>
      </c>
      <c r="C16" s="2" t="s">
        <v>15</v>
      </c>
      <c r="D16" s="2">
        <v>1964</v>
      </c>
      <c r="E16" s="2">
        <v>60</v>
      </c>
      <c r="F16" s="3" t="s">
        <v>61</v>
      </c>
      <c r="G16" s="3" t="s">
        <v>24</v>
      </c>
      <c r="H16" s="3" t="s">
        <v>36</v>
      </c>
      <c r="I16" s="2">
        <v>14</v>
      </c>
      <c r="J16" s="4">
        <v>2567.04</v>
      </c>
      <c r="K16" s="2">
        <v>2</v>
      </c>
      <c r="L16" s="5"/>
      <c r="M16" s="2" t="s">
        <v>25</v>
      </c>
    </row>
    <row r="17" spans="1:13" ht="15" customHeight="1" x14ac:dyDescent="0.3">
      <c r="A17" s="6" t="s">
        <v>62</v>
      </c>
      <c r="B17" s="7" t="s">
        <v>63</v>
      </c>
      <c r="C17" s="6" t="s">
        <v>22</v>
      </c>
      <c r="D17" s="6">
        <v>1998</v>
      </c>
      <c r="E17" s="6">
        <v>26</v>
      </c>
      <c r="F17" s="7" t="s">
        <v>16</v>
      </c>
      <c r="G17" s="7" t="s">
        <v>17</v>
      </c>
      <c r="H17" s="7" t="s">
        <v>33</v>
      </c>
      <c r="I17" s="6">
        <v>2</v>
      </c>
      <c r="J17" s="8">
        <v>989.09</v>
      </c>
      <c r="K17" s="6">
        <v>8</v>
      </c>
      <c r="L17" s="9">
        <v>9</v>
      </c>
      <c r="M17" s="6" t="s">
        <v>19</v>
      </c>
    </row>
    <row r="18" spans="1:13" ht="15" customHeight="1" x14ac:dyDescent="0.3">
      <c r="A18" s="2" t="s">
        <v>64</v>
      </c>
      <c r="B18" s="3" t="s">
        <v>65</v>
      </c>
      <c r="C18" s="2" t="s">
        <v>15</v>
      </c>
      <c r="D18" s="2">
        <v>1982</v>
      </c>
      <c r="E18" s="2">
        <v>42</v>
      </c>
      <c r="F18" s="3" t="s">
        <v>31</v>
      </c>
      <c r="G18" s="3" t="s">
        <v>32</v>
      </c>
      <c r="H18" s="3" t="s">
        <v>47</v>
      </c>
      <c r="I18" s="2">
        <v>8</v>
      </c>
      <c r="J18" s="4">
        <v>1381.38</v>
      </c>
      <c r="K18" s="2">
        <v>6</v>
      </c>
      <c r="L18" s="5">
        <v>6</v>
      </c>
      <c r="M18" s="2" t="s">
        <v>19</v>
      </c>
    </row>
    <row r="19" spans="1:13" ht="15" customHeight="1" x14ac:dyDescent="0.3">
      <c r="A19" s="6" t="s">
        <v>66</v>
      </c>
      <c r="B19" s="7" t="s">
        <v>67</v>
      </c>
      <c r="C19" s="6" t="s">
        <v>15</v>
      </c>
      <c r="D19" s="6">
        <v>1976</v>
      </c>
      <c r="E19" s="6">
        <v>48</v>
      </c>
      <c r="F19" s="7" t="s">
        <v>61</v>
      </c>
      <c r="G19" s="7" t="s">
        <v>40</v>
      </c>
      <c r="H19" s="7" t="s">
        <v>41</v>
      </c>
      <c r="I19" s="6">
        <v>12</v>
      </c>
      <c r="J19" s="8">
        <v>2795.82</v>
      </c>
      <c r="K19" s="6">
        <v>2</v>
      </c>
      <c r="L19" s="9"/>
      <c r="M19" s="6" t="s">
        <v>19</v>
      </c>
    </row>
    <row r="20" spans="1:13" ht="15" customHeight="1" x14ac:dyDescent="0.3">
      <c r="A20" s="2" t="s">
        <v>68</v>
      </c>
      <c r="B20" s="3" t="s">
        <v>69</v>
      </c>
      <c r="C20" s="2" t="s">
        <v>15</v>
      </c>
      <c r="D20" s="2">
        <v>1962</v>
      </c>
      <c r="E20" s="2">
        <v>62</v>
      </c>
      <c r="F20" s="3" t="s">
        <v>50</v>
      </c>
      <c r="G20" s="3" t="s">
        <v>24</v>
      </c>
      <c r="H20" s="3" t="s">
        <v>33</v>
      </c>
      <c r="I20" s="2">
        <v>35</v>
      </c>
      <c r="J20" s="4">
        <v>1424.61</v>
      </c>
      <c r="K20" s="2">
        <v>9</v>
      </c>
      <c r="L20" s="5">
        <v>8</v>
      </c>
      <c r="M20" s="2" t="s">
        <v>25</v>
      </c>
    </row>
    <row r="21" spans="1:13" ht="15" customHeight="1" x14ac:dyDescent="0.3">
      <c r="A21" s="6" t="s">
        <v>70</v>
      </c>
      <c r="B21" s="7" t="s">
        <v>71</v>
      </c>
      <c r="C21" s="6" t="s">
        <v>15</v>
      </c>
      <c r="D21" s="6">
        <v>1979</v>
      </c>
      <c r="E21" s="6">
        <v>45</v>
      </c>
      <c r="F21" s="7" t="s">
        <v>31</v>
      </c>
      <c r="G21" s="7" t="s">
        <v>24</v>
      </c>
      <c r="H21" s="7" t="s">
        <v>36</v>
      </c>
      <c r="I21" s="6">
        <v>16</v>
      </c>
      <c r="J21" s="8">
        <v>1478.82</v>
      </c>
      <c r="K21" s="6">
        <v>7</v>
      </c>
      <c r="L21" s="9">
        <v>8</v>
      </c>
      <c r="M21" s="6" t="s">
        <v>19</v>
      </c>
    </row>
    <row r="22" spans="1:13" ht="15" customHeight="1" x14ac:dyDescent="0.3">
      <c r="A22" s="2" t="s">
        <v>72</v>
      </c>
      <c r="B22" s="3" t="s">
        <v>73</v>
      </c>
      <c r="C22" s="2" t="s">
        <v>15</v>
      </c>
      <c r="D22" s="2">
        <v>1998</v>
      </c>
      <c r="E22" s="2">
        <v>26</v>
      </c>
      <c r="F22" s="3" t="s">
        <v>23</v>
      </c>
      <c r="G22" s="3" t="s">
        <v>40</v>
      </c>
      <c r="H22" s="3" t="s">
        <v>47</v>
      </c>
      <c r="I22" s="2">
        <v>4</v>
      </c>
      <c r="J22" s="4">
        <v>2101.4899999999998</v>
      </c>
      <c r="K22" s="2">
        <v>1</v>
      </c>
      <c r="L22" s="5"/>
      <c r="M22" s="2" t="s">
        <v>19</v>
      </c>
    </row>
    <row r="23" spans="1:13" ht="15" customHeight="1" x14ac:dyDescent="0.3">
      <c r="A23" s="6" t="s">
        <v>74</v>
      </c>
      <c r="B23" s="7" t="s">
        <v>75</v>
      </c>
      <c r="C23" s="6" t="s">
        <v>22</v>
      </c>
      <c r="D23" s="6">
        <v>1971</v>
      </c>
      <c r="E23" s="6">
        <v>53</v>
      </c>
      <c r="F23" s="7" t="s">
        <v>39</v>
      </c>
      <c r="G23" s="7" t="s">
        <v>40</v>
      </c>
      <c r="H23" s="7" t="s">
        <v>76</v>
      </c>
      <c r="I23" s="6">
        <v>3</v>
      </c>
      <c r="J23" s="8">
        <v>1185.75</v>
      </c>
      <c r="K23" s="6">
        <v>0</v>
      </c>
      <c r="L23" s="9">
        <v>6</v>
      </c>
      <c r="M23" s="6" t="s">
        <v>19</v>
      </c>
    </row>
    <row r="24" spans="1:13" ht="15" customHeight="1" x14ac:dyDescent="0.3">
      <c r="A24" s="2" t="s">
        <v>77</v>
      </c>
      <c r="B24" s="3" t="s">
        <v>78</v>
      </c>
      <c r="C24" s="2" t="s">
        <v>15</v>
      </c>
      <c r="D24" s="2">
        <v>1974</v>
      </c>
      <c r="E24" s="2">
        <v>50</v>
      </c>
      <c r="F24" s="3" t="s">
        <v>16</v>
      </c>
      <c r="G24" s="3" t="s">
        <v>17</v>
      </c>
      <c r="H24" s="3" t="s">
        <v>18</v>
      </c>
      <c r="I24" s="2">
        <v>24</v>
      </c>
      <c r="J24" s="4">
        <v>1293.3699999999999</v>
      </c>
      <c r="K24" s="2">
        <v>2</v>
      </c>
      <c r="L24" s="5">
        <v>9.5</v>
      </c>
      <c r="M24" s="2" t="s">
        <v>19</v>
      </c>
    </row>
    <row r="25" spans="1:13" ht="15" customHeight="1" x14ac:dyDescent="0.3">
      <c r="A25" s="6" t="s">
        <v>79</v>
      </c>
      <c r="B25" s="7" t="s">
        <v>80</v>
      </c>
      <c r="C25" s="6" t="s">
        <v>15</v>
      </c>
      <c r="D25" s="6">
        <v>1972</v>
      </c>
      <c r="E25" s="6">
        <v>52</v>
      </c>
      <c r="F25" s="7" t="s">
        <v>50</v>
      </c>
      <c r="G25" s="7" t="s">
        <v>24</v>
      </c>
      <c r="H25" s="7" t="s">
        <v>41</v>
      </c>
      <c r="I25" s="6">
        <v>18</v>
      </c>
      <c r="J25" s="8">
        <v>1052.19</v>
      </c>
      <c r="K25" s="6">
        <v>6</v>
      </c>
      <c r="L25" s="9">
        <v>8</v>
      </c>
      <c r="M25" s="6" t="s">
        <v>19</v>
      </c>
    </row>
    <row r="26" spans="1:13" ht="15" customHeight="1" x14ac:dyDescent="0.3">
      <c r="A26" s="2" t="s">
        <v>81</v>
      </c>
      <c r="B26" s="3" t="s">
        <v>82</v>
      </c>
      <c r="C26" s="2" t="s">
        <v>15</v>
      </c>
      <c r="D26" s="2">
        <v>1997</v>
      </c>
      <c r="E26" s="2">
        <v>27</v>
      </c>
      <c r="F26" s="3" t="s">
        <v>31</v>
      </c>
      <c r="G26" s="3" t="s">
        <v>32</v>
      </c>
      <c r="H26" s="3" t="s">
        <v>28</v>
      </c>
      <c r="I26" s="2">
        <v>5</v>
      </c>
      <c r="J26" s="4">
        <v>1451.91</v>
      </c>
      <c r="K26" s="2">
        <v>3</v>
      </c>
      <c r="L26" s="5">
        <v>8</v>
      </c>
      <c r="M26" s="2" t="s">
        <v>19</v>
      </c>
    </row>
    <row r="27" spans="1:13" ht="15" customHeight="1" x14ac:dyDescent="0.3">
      <c r="A27" s="6" t="s">
        <v>83</v>
      </c>
      <c r="B27" s="7" t="s">
        <v>60</v>
      </c>
      <c r="C27" s="6" t="s">
        <v>22</v>
      </c>
      <c r="D27" s="6">
        <v>1978</v>
      </c>
      <c r="E27" s="6">
        <v>46</v>
      </c>
      <c r="F27" s="7" t="s">
        <v>31</v>
      </c>
      <c r="G27" s="7" t="s">
        <v>24</v>
      </c>
      <c r="H27" s="7" t="s">
        <v>28</v>
      </c>
      <c r="I27" s="6">
        <v>7</v>
      </c>
      <c r="J27" s="8">
        <v>1570.22</v>
      </c>
      <c r="K27" s="6">
        <v>8</v>
      </c>
      <c r="L27" s="9">
        <v>9</v>
      </c>
      <c r="M27" s="6" t="s">
        <v>19</v>
      </c>
    </row>
    <row r="28" spans="1:13" ht="15" customHeight="1" x14ac:dyDescent="0.3">
      <c r="A28" s="2" t="s">
        <v>84</v>
      </c>
      <c r="B28" s="3" t="s">
        <v>85</v>
      </c>
      <c r="C28" s="2" t="s">
        <v>22</v>
      </c>
      <c r="D28" s="2">
        <v>1982</v>
      </c>
      <c r="E28" s="2">
        <v>42</v>
      </c>
      <c r="F28" s="3" t="s">
        <v>31</v>
      </c>
      <c r="G28" s="3" t="s">
        <v>17</v>
      </c>
      <c r="H28" s="3" t="s">
        <v>36</v>
      </c>
      <c r="I28" s="2">
        <v>4</v>
      </c>
      <c r="J28" s="4">
        <v>1267.08</v>
      </c>
      <c r="K28" s="2">
        <v>0</v>
      </c>
      <c r="L28" s="5">
        <v>9.5</v>
      </c>
      <c r="M28" s="2" t="s">
        <v>19</v>
      </c>
    </row>
    <row r="29" spans="1:13" ht="15" customHeight="1" x14ac:dyDescent="0.3">
      <c r="A29" s="6" t="s">
        <v>86</v>
      </c>
      <c r="B29" s="7" t="s">
        <v>87</v>
      </c>
      <c r="C29" s="6" t="s">
        <v>15</v>
      </c>
      <c r="D29" s="6">
        <v>1966</v>
      </c>
      <c r="E29" s="6">
        <v>58</v>
      </c>
      <c r="F29" s="7" t="s">
        <v>50</v>
      </c>
      <c r="G29" s="7" t="s">
        <v>17</v>
      </c>
      <c r="H29" s="7" t="s">
        <v>33</v>
      </c>
      <c r="I29" s="6">
        <v>29</v>
      </c>
      <c r="J29" s="8">
        <v>1293.26</v>
      </c>
      <c r="K29" s="6">
        <v>8</v>
      </c>
      <c r="L29" s="9">
        <v>8</v>
      </c>
      <c r="M29" s="6" t="s">
        <v>19</v>
      </c>
    </row>
    <row r="30" spans="1:13" ht="15" customHeight="1" x14ac:dyDescent="0.3">
      <c r="A30" s="2" t="s">
        <v>88</v>
      </c>
      <c r="B30" s="3" t="s">
        <v>89</v>
      </c>
      <c r="C30" s="2" t="s">
        <v>22</v>
      </c>
      <c r="D30" s="2">
        <v>1963</v>
      </c>
      <c r="E30" s="2">
        <v>61</v>
      </c>
      <c r="F30" s="3" t="s">
        <v>16</v>
      </c>
      <c r="G30" s="3" t="s">
        <v>17</v>
      </c>
      <c r="H30" s="3" t="s">
        <v>18</v>
      </c>
      <c r="I30" s="2">
        <v>28</v>
      </c>
      <c r="J30" s="4">
        <v>1287.2</v>
      </c>
      <c r="K30" s="2">
        <v>7</v>
      </c>
      <c r="L30" s="5">
        <v>7.5</v>
      </c>
      <c r="M30" s="2" t="s">
        <v>25</v>
      </c>
    </row>
    <row r="31" spans="1:13" ht="15" customHeight="1" x14ac:dyDescent="0.3">
      <c r="A31" s="6" t="s">
        <v>90</v>
      </c>
      <c r="B31" s="7" t="s">
        <v>91</v>
      </c>
      <c r="C31" s="6" t="s">
        <v>22</v>
      </c>
      <c r="D31" s="6">
        <v>1962</v>
      </c>
      <c r="E31" s="6">
        <v>62</v>
      </c>
      <c r="F31" s="7" t="s">
        <v>39</v>
      </c>
      <c r="G31" s="7" t="s">
        <v>40</v>
      </c>
      <c r="H31" s="7" t="s">
        <v>41</v>
      </c>
      <c r="I31" s="6">
        <v>18</v>
      </c>
      <c r="J31" s="8">
        <v>1489.77</v>
      </c>
      <c r="K31" s="6">
        <v>3</v>
      </c>
      <c r="L31" s="9">
        <v>9</v>
      </c>
      <c r="M31" s="6" t="s">
        <v>25</v>
      </c>
    </row>
    <row r="32" spans="1:13" ht="15" customHeight="1" x14ac:dyDescent="0.3">
      <c r="A32" s="2" t="s">
        <v>92</v>
      </c>
      <c r="B32" s="3" t="s">
        <v>93</v>
      </c>
      <c r="C32" s="2" t="s">
        <v>22</v>
      </c>
      <c r="D32" s="2">
        <v>1982</v>
      </c>
      <c r="E32" s="2">
        <v>42</v>
      </c>
      <c r="F32" s="3" t="s">
        <v>16</v>
      </c>
      <c r="G32" s="3" t="s">
        <v>32</v>
      </c>
      <c r="H32" s="3" t="s">
        <v>41</v>
      </c>
      <c r="I32" s="2">
        <v>7</v>
      </c>
      <c r="J32" s="4">
        <v>990.76</v>
      </c>
      <c r="K32" s="2">
        <v>8</v>
      </c>
      <c r="L32" s="5">
        <v>7.5</v>
      </c>
      <c r="M32" s="2" t="s">
        <v>19</v>
      </c>
    </row>
    <row r="33" spans="1:13" ht="15" customHeight="1" x14ac:dyDescent="0.3">
      <c r="A33" s="6" t="s">
        <v>94</v>
      </c>
      <c r="B33" s="7" t="s">
        <v>27</v>
      </c>
      <c r="C33" s="6" t="s">
        <v>15</v>
      </c>
      <c r="D33" s="6">
        <v>1970</v>
      </c>
      <c r="E33" s="6">
        <v>54</v>
      </c>
      <c r="F33" s="7" t="s">
        <v>23</v>
      </c>
      <c r="G33" s="7" t="s">
        <v>40</v>
      </c>
      <c r="H33" s="7" t="s">
        <v>47</v>
      </c>
      <c r="I33" s="6">
        <v>8</v>
      </c>
      <c r="J33" s="8">
        <v>2203.23</v>
      </c>
      <c r="K33" s="6">
        <v>1</v>
      </c>
      <c r="L33" s="9"/>
      <c r="M33" s="6" t="s">
        <v>19</v>
      </c>
    </row>
    <row r="34" spans="1:13" ht="15" customHeight="1" x14ac:dyDescent="0.3">
      <c r="A34" s="2" t="s">
        <v>95</v>
      </c>
      <c r="B34" s="3" t="s">
        <v>96</v>
      </c>
      <c r="C34" s="2" t="s">
        <v>22</v>
      </c>
      <c r="D34" s="2">
        <v>1958</v>
      </c>
      <c r="E34" s="2">
        <v>66</v>
      </c>
      <c r="F34" s="3" t="s">
        <v>50</v>
      </c>
      <c r="G34" s="3" t="s">
        <v>24</v>
      </c>
      <c r="H34" s="3" t="s">
        <v>76</v>
      </c>
      <c r="I34" s="2">
        <v>2</v>
      </c>
      <c r="J34" s="4">
        <v>808.45</v>
      </c>
      <c r="K34" s="2">
        <v>11</v>
      </c>
      <c r="L34" s="5">
        <v>10</v>
      </c>
      <c r="M34" s="2" t="s">
        <v>25</v>
      </c>
    </row>
    <row r="35" spans="1:13" ht="15" customHeight="1" x14ac:dyDescent="0.3">
      <c r="A35" s="6" t="s">
        <v>97</v>
      </c>
      <c r="B35" s="7" t="s">
        <v>63</v>
      </c>
      <c r="C35" s="6" t="s">
        <v>22</v>
      </c>
      <c r="D35" s="6">
        <v>1978</v>
      </c>
      <c r="E35" s="6">
        <v>46</v>
      </c>
      <c r="F35" s="7" t="s">
        <v>39</v>
      </c>
      <c r="G35" s="7" t="s">
        <v>40</v>
      </c>
      <c r="H35" s="7" t="s">
        <v>47</v>
      </c>
      <c r="I35" s="6">
        <v>7</v>
      </c>
      <c r="J35" s="8">
        <v>1353.66</v>
      </c>
      <c r="K35" s="6">
        <v>8</v>
      </c>
      <c r="L35" s="9">
        <v>10</v>
      </c>
      <c r="M35" s="6" t="s">
        <v>19</v>
      </c>
    </row>
    <row r="36" spans="1:13" ht="15" customHeight="1" x14ac:dyDescent="0.3">
      <c r="A36" s="2" t="s">
        <v>98</v>
      </c>
      <c r="B36" s="3" t="s">
        <v>99</v>
      </c>
      <c r="C36" s="2" t="s">
        <v>22</v>
      </c>
      <c r="D36" s="2">
        <v>1990</v>
      </c>
      <c r="E36" s="2">
        <v>34</v>
      </c>
      <c r="F36" s="3" t="s">
        <v>50</v>
      </c>
      <c r="G36" s="3" t="s">
        <v>32</v>
      </c>
      <c r="H36" s="3" t="s">
        <v>41</v>
      </c>
      <c r="I36" s="2">
        <v>12</v>
      </c>
      <c r="J36" s="4">
        <v>1013.38</v>
      </c>
      <c r="K36" s="2">
        <v>14</v>
      </c>
      <c r="L36" s="5">
        <v>8</v>
      </c>
      <c r="M36" s="2" t="s">
        <v>19</v>
      </c>
    </row>
    <row r="37" spans="1:13" ht="15" customHeight="1" x14ac:dyDescent="0.3">
      <c r="A37" s="6" t="s">
        <v>100</v>
      </c>
      <c r="B37" s="7" t="s">
        <v>101</v>
      </c>
      <c r="C37" s="6" t="s">
        <v>15</v>
      </c>
      <c r="D37" s="6">
        <v>1972</v>
      </c>
      <c r="E37" s="6">
        <v>52</v>
      </c>
      <c r="F37" s="7" t="s">
        <v>31</v>
      </c>
      <c r="G37" s="7" t="s">
        <v>32</v>
      </c>
      <c r="H37" s="7" t="s">
        <v>41</v>
      </c>
      <c r="I37" s="6">
        <v>11</v>
      </c>
      <c r="J37" s="8">
        <v>1467.37</v>
      </c>
      <c r="K37" s="6">
        <v>10</v>
      </c>
      <c r="L37" s="9">
        <v>8.5</v>
      </c>
      <c r="M37" s="6" t="s">
        <v>19</v>
      </c>
    </row>
    <row r="38" spans="1:13" ht="15" customHeight="1" x14ac:dyDescent="0.3">
      <c r="A38" s="2" t="s">
        <v>102</v>
      </c>
      <c r="B38" s="3" t="s">
        <v>103</v>
      </c>
      <c r="C38" s="2" t="s">
        <v>15</v>
      </c>
      <c r="D38" s="2">
        <v>1973</v>
      </c>
      <c r="E38" s="2">
        <v>51</v>
      </c>
      <c r="F38" s="3" t="s">
        <v>31</v>
      </c>
      <c r="G38" s="3" t="s">
        <v>24</v>
      </c>
      <c r="H38" s="3" t="s">
        <v>33</v>
      </c>
      <c r="I38" s="2">
        <v>17</v>
      </c>
      <c r="J38" s="4">
        <v>1729.84</v>
      </c>
      <c r="K38" s="2">
        <v>0</v>
      </c>
      <c r="L38" s="5">
        <v>6.5</v>
      </c>
      <c r="M38" s="2" t="s">
        <v>19</v>
      </c>
    </row>
    <row r="39" spans="1:13" ht="15" customHeight="1" x14ac:dyDescent="0.3">
      <c r="A39" s="6" t="s">
        <v>104</v>
      </c>
      <c r="B39" s="7" t="s">
        <v>56</v>
      </c>
      <c r="C39" s="6" t="s">
        <v>22</v>
      </c>
      <c r="D39" s="6">
        <v>1968</v>
      </c>
      <c r="E39" s="6">
        <v>56</v>
      </c>
      <c r="F39" s="7" t="s">
        <v>50</v>
      </c>
      <c r="G39" s="7" t="s">
        <v>24</v>
      </c>
      <c r="H39" s="7" t="s">
        <v>47</v>
      </c>
      <c r="I39" s="6">
        <v>18</v>
      </c>
      <c r="J39" s="8">
        <v>1121.96</v>
      </c>
      <c r="K39" s="6">
        <v>14</v>
      </c>
      <c r="L39" s="9">
        <v>6</v>
      </c>
      <c r="M39" s="6" t="s">
        <v>19</v>
      </c>
    </row>
    <row r="40" spans="1:13" ht="15" customHeight="1" x14ac:dyDescent="0.3">
      <c r="A40" s="2" t="s">
        <v>105</v>
      </c>
      <c r="B40" s="3" t="s">
        <v>89</v>
      </c>
      <c r="C40" s="2" t="s">
        <v>15</v>
      </c>
      <c r="D40" s="2">
        <v>1963</v>
      </c>
      <c r="E40" s="2">
        <v>61</v>
      </c>
      <c r="F40" s="3" t="s">
        <v>39</v>
      </c>
      <c r="G40" s="3" t="s">
        <v>24</v>
      </c>
      <c r="H40" s="3" t="s">
        <v>76</v>
      </c>
      <c r="I40" s="2">
        <v>9</v>
      </c>
      <c r="J40" s="4">
        <v>1361.64</v>
      </c>
      <c r="K40" s="2">
        <v>4</v>
      </c>
      <c r="L40" s="5">
        <v>8</v>
      </c>
      <c r="M40" s="2" t="s">
        <v>25</v>
      </c>
    </row>
    <row r="41" spans="1:13" ht="15" customHeight="1" x14ac:dyDescent="0.3">
      <c r="A41" s="6" t="s">
        <v>106</v>
      </c>
      <c r="B41" s="7" t="s">
        <v>107</v>
      </c>
      <c r="C41" s="6" t="s">
        <v>15</v>
      </c>
      <c r="D41" s="6">
        <v>1967</v>
      </c>
      <c r="E41" s="6">
        <v>57</v>
      </c>
      <c r="F41" s="7" t="s">
        <v>16</v>
      </c>
      <c r="G41" s="7" t="s">
        <v>17</v>
      </c>
      <c r="H41" s="7" t="s">
        <v>108</v>
      </c>
      <c r="I41" s="6">
        <v>30</v>
      </c>
      <c r="J41" s="8">
        <v>1335.8</v>
      </c>
      <c r="K41" s="6">
        <v>6</v>
      </c>
      <c r="L41" s="9">
        <v>9</v>
      </c>
      <c r="M41" s="6" t="s">
        <v>25</v>
      </c>
    </row>
    <row r="42" spans="1:13" ht="15" customHeight="1" x14ac:dyDescent="0.3">
      <c r="A42" s="2" t="s">
        <v>109</v>
      </c>
      <c r="B42" s="3" t="s">
        <v>110</v>
      </c>
      <c r="C42" s="2" t="s">
        <v>22</v>
      </c>
      <c r="D42" s="2">
        <v>1979</v>
      </c>
      <c r="E42" s="2">
        <v>45</v>
      </c>
      <c r="F42" s="3" t="s">
        <v>50</v>
      </c>
      <c r="G42" s="3" t="s">
        <v>40</v>
      </c>
      <c r="H42" s="3" t="s">
        <v>18</v>
      </c>
      <c r="I42" s="2">
        <v>21</v>
      </c>
      <c r="J42" s="4">
        <v>1101.32</v>
      </c>
      <c r="K42" s="2">
        <v>12</v>
      </c>
      <c r="L42" s="5">
        <v>8</v>
      </c>
      <c r="M42" s="2" t="s">
        <v>19</v>
      </c>
    </row>
    <row r="43" spans="1:13" ht="15" customHeight="1" x14ac:dyDescent="0.3">
      <c r="A43" s="6" t="s">
        <v>111</v>
      </c>
      <c r="B43" s="7" t="s">
        <v>52</v>
      </c>
      <c r="C43" s="6" t="s">
        <v>15</v>
      </c>
      <c r="D43" s="6">
        <v>1988</v>
      </c>
      <c r="E43" s="6">
        <v>36</v>
      </c>
      <c r="F43" s="7" t="s">
        <v>39</v>
      </c>
      <c r="G43" s="7" t="s">
        <v>40</v>
      </c>
      <c r="H43" s="7" t="s">
        <v>108</v>
      </c>
      <c r="I43" s="6">
        <v>7</v>
      </c>
      <c r="J43" s="8">
        <v>1274.55</v>
      </c>
      <c r="K43" s="6">
        <v>0</v>
      </c>
      <c r="L43" s="9">
        <v>7.5</v>
      </c>
      <c r="M43" s="6" t="s">
        <v>19</v>
      </c>
    </row>
    <row r="44" spans="1:13" ht="15" customHeight="1" x14ac:dyDescent="0.3">
      <c r="A44" s="2" t="s">
        <v>112</v>
      </c>
      <c r="B44" s="3" t="s">
        <v>93</v>
      </c>
      <c r="C44" s="2" t="s">
        <v>15</v>
      </c>
      <c r="D44" s="2">
        <v>1990</v>
      </c>
      <c r="E44" s="2">
        <v>34</v>
      </c>
      <c r="F44" s="3" t="s">
        <v>31</v>
      </c>
      <c r="G44" s="3" t="s">
        <v>24</v>
      </c>
      <c r="H44" s="3" t="s">
        <v>28</v>
      </c>
      <c r="I44" s="2">
        <v>4</v>
      </c>
      <c r="J44" s="4">
        <v>1473.83</v>
      </c>
      <c r="K44" s="2">
        <v>5</v>
      </c>
      <c r="L44" s="5">
        <v>9</v>
      </c>
      <c r="M44" s="2" t="s">
        <v>19</v>
      </c>
    </row>
    <row r="45" spans="1:13" ht="15" customHeight="1" x14ac:dyDescent="0.3">
      <c r="A45" s="6" t="s">
        <v>113</v>
      </c>
      <c r="B45" s="7" t="s">
        <v>114</v>
      </c>
      <c r="C45" s="6" t="s">
        <v>15</v>
      </c>
      <c r="D45" s="6">
        <v>1986</v>
      </c>
      <c r="E45" s="6">
        <v>38</v>
      </c>
      <c r="F45" s="7" t="s">
        <v>31</v>
      </c>
      <c r="G45" s="7" t="s">
        <v>24</v>
      </c>
      <c r="H45" s="7" t="s">
        <v>33</v>
      </c>
      <c r="I45" s="6">
        <v>2</v>
      </c>
      <c r="J45" s="8">
        <v>1371.98</v>
      </c>
      <c r="K45" s="6">
        <v>6</v>
      </c>
      <c r="L45" s="9">
        <v>9</v>
      </c>
      <c r="M45" s="6" t="s">
        <v>19</v>
      </c>
    </row>
    <row r="46" spans="1:13" ht="15" customHeight="1" x14ac:dyDescent="0.3">
      <c r="A46" s="2" t="s">
        <v>115</v>
      </c>
      <c r="B46" s="3" t="s">
        <v>75</v>
      </c>
      <c r="C46" s="2" t="s">
        <v>22</v>
      </c>
      <c r="D46" s="2">
        <v>1991</v>
      </c>
      <c r="E46" s="2">
        <v>33</v>
      </c>
      <c r="F46" s="3" t="s">
        <v>16</v>
      </c>
      <c r="G46" s="3" t="s">
        <v>17</v>
      </c>
      <c r="H46" s="3" t="s">
        <v>108</v>
      </c>
      <c r="I46" s="2">
        <v>4</v>
      </c>
      <c r="J46" s="4">
        <v>1105.3399999999999</v>
      </c>
      <c r="K46" s="2">
        <v>6</v>
      </c>
      <c r="L46" s="5">
        <v>10</v>
      </c>
      <c r="M46" s="2" t="s">
        <v>19</v>
      </c>
    </row>
    <row r="47" spans="1:13" ht="15" customHeight="1" x14ac:dyDescent="0.3">
      <c r="A47" s="6" t="s">
        <v>116</v>
      </c>
      <c r="B47" s="7" t="s">
        <v>117</v>
      </c>
      <c r="C47" s="6" t="s">
        <v>15</v>
      </c>
      <c r="D47" s="6">
        <v>1995</v>
      </c>
      <c r="E47" s="6">
        <v>29</v>
      </c>
      <c r="F47" s="7" t="s">
        <v>31</v>
      </c>
      <c r="G47" s="7" t="s">
        <v>17</v>
      </c>
      <c r="H47" s="7" t="s">
        <v>33</v>
      </c>
      <c r="I47" s="6">
        <v>2</v>
      </c>
      <c r="J47" s="8">
        <v>1282.8399999999999</v>
      </c>
      <c r="K47" s="6">
        <v>1</v>
      </c>
      <c r="L47" s="9">
        <v>10</v>
      </c>
      <c r="M47" s="6" t="s">
        <v>19</v>
      </c>
    </row>
    <row r="48" spans="1:13" ht="15" customHeight="1" x14ac:dyDescent="0.3">
      <c r="A48" s="2" t="s">
        <v>118</v>
      </c>
      <c r="B48" s="3" t="s">
        <v>96</v>
      </c>
      <c r="C48" s="2" t="s">
        <v>22</v>
      </c>
      <c r="D48" s="2">
        <v>1983</v>
      </c>
      <c r="E48" s="2">
        <v>41</v>
      </c>
      <c r="F48" s="3" t="s">
        <v>61</v>
      </c>
      <c r="G48" s="3" t="s">
        <v>40</v>
      </c>
      <c r="H48" s="3" t="s">
        <v>36</v>
      </c>
      <c r="I48" s="2">
        <v>14</v>
      </c>
      <c r="J48" s="4">
        <v>2633.58</v>
      </c>
      <c r="K48" s="2">
        <v>1</v>
      </c>
      <c r="L48" s="5"/>
      <c r="M48" s="2" t="s">
        <v>19</v>
      </c>
    </row>
    <row r="49" spans="1:13" ht="15" customHeight="1" x14ac:dyDescent="0.3">
      <c r="A49" s="6" t="s">
        <v>119</v>
      </c>
      <c r="B49" s="7" t="s">
        <v>120</v>
      </c>
      <c r="C49" s="6" t="s">
        <v>15</v>
      </c>
      <c r="D49" s="6">
        <v>1982</v>
      </c>
      <c r="E49" s="6">
        <v>42</v>
      </c>
      <c r="F49" s="7" t="s">
        <v>16</v>
      </c>
      <c r="G49" s="7" t="s">
        <v>40</v>
      </c>
      <c r="H49" s="7" t="s">
        <v>41</v>
      </c>
      <c r="I49" s="6">
        <v>10</v>
      </c>
      <c r="J49" s="8">
        <v>1150.3</v>
      </c>
      <c r="K49" s="6">
        <v>11</v>
      </c>
      <c r="L49" s="9">
        <v>10</v>
      </c>
      <c r="M49" s="6" t="s">
        <v>19</v>
      </c>
    </row>
    <row r="50" spans="1:13" ht="15" customHeight="1" x14ac:dyDescent="0.3">
      <c r="A50" s="2" t="s">
        <v>121</v>
      </c>
      <c r="B50" s="3" t="s">
        <v>122</v>
      </c>
      <c r="C50" s="2" t="s">
        <v>15</v>
      </c>
      <c r="D50" s="2">
        <v>1980</v>
      </c>
      <c r="E50" s="2">
        <v>44</v>
      </c>
      <c r="F50" s="3" t="s">
        <v>50</v>
      </c>
      <c r="G50" s="3" t="s">
        <v>32</v>
      </c>
      <c r="H50" s="3" t="s">
        <v>33</v>
      </c>
      <c r="I50" s="2">
        <v>8</v>
      </c>
      <c r="J50" s="4">
        <v>965.16</v>
      </c>
      <c r="K50" s="2">
        <v>13</v>
      </c>
      <c r="L50" s="5">
        <v>10</v>
      </c>
      <c r="M50" s="2" t="s">
        <v>19</v>
      </c>
    </row>
    <row r="51" spans="1:13" ht="15" customHeight="1" x14ac:dyDescent="0.3">
      <c r="A51" s="6" t="s">
        <v>123</v>
      </c>
      <c r="B51" s="7" t="s">
        <v>124</v>
      </c>
      <c r="C51" s="6" t="s">
        <v>15</v>
      </c>
      <c r="D51" s="6">
        <v>1989</v>
      </c>
      <c r="E51" s="6">
        <v>35</v>
      </c>
      <c r="F51" s="7" t="s">
        <v>16</v>
      </c>
      <c r="G51" s="7" t="s">
        <v>40</v>
      </c>
      <c r="H51" s="7" t="s">
        <v>36</v>
      </c>
      <c r="I51" s="6">
        <v>4</v>
      </c>
      <c r="J51" s="8">
        <v>1054.45</v>
      </c>
      <c r="K51" s="6">
        <v>14</v>
      </c>
      <c r="L51" s="9">
        <v>8.5</v>
      </c>
      <c r="M51" s="6" t="s">
        <v>19</v>
      </c>
    </row>
    <row r="52" spans="1:13" ht="15" customHeight="1" x14ac:dyDescent="0.3">
      <c r="A52" s="2" t="s">
        <v>125</v>
      </c>
      <c r="B52" s="3" t="s">
        <v>126</v>
      </c>
      <c r="C52" s="2" t="s">
        <v>15</v>
      </c>
      <c r="D52" s="2">
        <v>1993</v>
      </c>
      <c r="E52" s="2">
        <v>31</v>
      </c>
      <c r="F52" s="3" t="s">
        <v>50</v>
      </c>
      <c r="G52" s="3" t="s">
        <v>32</v>
      </c>
      <c r="H52" s="3" t="s">
        <v>33</v>
      </c>
      <c r="I52" s="2">
        <v>5</v>
      </c>
      <c r="J52" s="4">
        <v>973.85</v>
      </c>
      <c r="K52" s="2">
        <v>13</v>
      </c>
      <c r="L52" s="5">
        <v>7.5</v>
      </c>
      <c r="M52" s="2" t="s">
        <v>19</v>
      </c>
    </row>
    <row r="53" spans="1:13" ht="15" customHeight="1" x14ac:dyDescent="0.3">
      <c r="A53" s="6" t="s">
        <v>127</v>
      </c>
      <c r="B53" s="7" t="s">
        <v>128</v>
      </c>
      <c r="C53" s="6" t="s">
        <v>15</v>
      </c>
      <c r="D53" s="6">
        <v>1969</v>
      </c>
      <c r="E53" s="6">
        <v>55</v>
      </c>
      <c r="F53" s="7" t="s">
        <v>16</v>
      </c>
      <c r="G53" s="7" t="s">
        <v>17</v>
      </c>
      <c r="H53" s="7" t="s">
        <v>108</v>
      </c>
      <c r="I53" s="6">
        <v>33</v>
      </c>
      <c r="J53" s="8">
        <v>1380.2</v>
      </c>
      <c r="K53" s="6">
        <v>10</v>
      </c>
      <c r="L53" s="9">
        <v>6</v>
      </c>
      <c r="M53" s="6" t="s">
        <v>25</v>
      </c>
    </row>
    <row r="54" spans="1:13" ht="15" customHeight="1" x14ac:dyDescent="0.3">
      <c r="A54" s="2" t="s">
        <v>129</v>
      </c>
      <c r="B54" s="3" t="s">
        <v>130</v>
      </c>
      <c r="C54" s="2" t="s">
        <v>15</v>
      </c>
      <c r="D54" s="2">
        <v>1971</v>
      </c>
      <c r="E54" s="2">
        <v>53</v>
      </c>
      <c r="F54" s="3" t="s">
        <v>50</v>
      </c>
      <c r="G54" s="3" t="s">
        <v>40</v>
      </c>
      <c r="H54" s="3" t="s">
        <v>108</v>
      </c>
      <c r="I54" s="2">
        <v>9</v>
      </c>
      <c r="J54" s="4">
        <v>975.17</v>
      </c>
      <c r="K54" s="2">
        <v>15</v>
      </c>
      <c r="L54" s="5">
        <v>9.5</v>
      </c>
      <c r="M54" s="2" t="s">
        <v>19</v>
      </c>
    </row>
    <row r="55" spans="1:13" ht="15" customHeight="1" x14ac:dyDescent="0.3">
      <c r="A55" s="6" t="s">
        <v>131</v>
      </c>
      <c r="B55" s="7" t="s">
        <v>132</v>
      </c>
      <c r="C55" s="6" t="s">
        <v>15</v>
      </c>
      <c r="D55" s="6">
        <v>1981</v>
      </c>
      <c r="E55" s="6">
        <v>43</v>
      </c>
      <c r="F55" s="7" t="s">
        <v>31</v>
      </c>
      <c r="G55" s="7" t="s">
        <v>24</v>
      </c>
      <c r="H55" s="7" t="s">
        <v>28</v>
      </c>
      <c r="I55" s="6">
        <v>4</v>
      </c>
      <c r="J55" s="8">
        <v>1397.83</v>
      </c>
      <c r="K55" s="6">
        <v>12</v>
      </c>
      <c r="L55" s="9">
        <v>6.5</v>
      </c>
      <c r="M55" s="6" t="s">
        <v>19</v>
      </c>
    </row>
    <row r="56" spans="1:13" ht="15" customHeight="1" x14ac:dyDescent="0.3">
      <c r="A56" s="2" t="s">
        <v>133</v>
      </c>
      <c r="B56" s="3" t="s">
        <v>134</v>
      </c>
      <c r="C56" s="2" t="s">
        <v>15</v>
      </c>
      <c r="D56" s="2">
        <v>1968</v>
      </c>
      <c r="E56" s="2">
        <v>56</v>
      </c>
      <c r="F56" s="3" t="s">
        <v>50</v>
      </c>
      <c r="G56" s="3" t="s">
        <v>32</v>
      </c>
      <c r="H56" s="3" t="s">
        <v>33</v>
      </c>
      <c r="I56" s="2">
        <v>9</v>
      </c>
      <c r="J56" s="4">
        <v>1023.8</v>
      </c>
      <c r="K56" s="2">
        <v>9</v>
      </c>
      <c r="L56" s="5">
        <v>8</v>
      </c>
      <c r="M56" s="2" t="s">
        <v>19</v>
      </c>
    </row>
    <row r="57" spans="1:13" ht="15" customHeight="1" x14ac:dyDescent="0.3">
      <c r="A57" s="6" t="s">
        <v>135</v>
      </c>
      <c r="B57" s="7" t="s">
        <v>21</v>
      </c>
      <c r="C57" s="6" t="s">
        <v>22</v>
      </c>
      <c r="D57" s="6">
        <v>1965</v>
      </c>
      <c r="E57" s="6">
        <v>59</v>
      </c>
      <c r="F57" s="7" t="s">
        <v>16</v>
      </c>
      <c r="G57" s="7" t="s">
        <v>32</v>
      </c>
      <c r="H57" s="7" t="s">
        <v>108</v>
      </c>
      <c r="I57" s="6">
        <v>33</v>
      </c>
      <c r="J57" s="8">
        <v>1385.5</v>
      </c>
      <c r="K57" s="6">
        <v>5</v>
      </c>
      <c r="L57" s="9">
        <v>8</v>
      </c>
      <c r="M57" s="6" t="s">
        <v>25</v>
      </c>
    </row>
    <row r="58" spans="1:13" ht="15" customHeight="1" x14ac:dyDescent="0.3">
      <c r="A58" s="2" t="s">
        <v>136</v>
      </c>
      <c r="B58" s="3" t="s">
        <v>137</v>
      </c>
      <c r="C58" s="2" t="s">
        <v>15</v>
      </c>
      <c r="D58" s="2">
        <v>1970</v>
      </c>
      <c r="E58" s="2">
        <v>54</v>
      </c>
      <c r="F58" s="3" t="s">
        <v>23</v>
      </c>
      <c r="G58" s="3" t="s">
        <v>24</v>
      </c>
      <c r="H58" s="3" t="s">
        <v>33</v>
      </c>
      <c r="I58" s="2">
        <v>6</v>
      </c>
      <c r="J58" s="4">
        <v>1900.06</v>
      </c>
      <c r="K58" s="2">
        <v>4</v>
      </c>
      <c r="L58" s="5"/>
      <c r="M58" s="2" t="s">
        <v>19</v>
      </c>
    </row>
    <row r="59" spans="1:13" ht="15" customHeight="1" x14ac:dyDescent="0.3">
      <c r="A59" s="6" t="s">
        <v>138</v>
      </c>
      <c r="B59" s="7" t="s">
        <v>54</v>
      </c>
      <c r="C59" s="6" t="s">
        <v>22</v>
      </c>
      <c r="D59" s="6">
        <v>1961</v>
      </c>
      <c r="E59" s="6">
        <v>63</v>
      </c>
      <c r="F59" s="7" t="s">
        <v>16</v>
      </c>
      <c r="G59" s="7" t="s">
        <v>17</v>
      </c>
      <c r="H59" s="7" t="s">
        <v>41</v>
      </c>
      <c r="I59" s="6">
        <v>9</v>
      </c>
      <c r="J59" s="8">
        <v>1157.79</v>
      </c>
      <c r="K59" s="6">
        <v>2</v>
      </c>
      <c r="L59" s="9">
        <v>8.5</v>
      </c>
      <c r="M59" s="6" t="s">
        <v>25</v>
      </c>
    </row>
    <row r="60" spans="1:13" ht="15" customHeight="1" x14ac:dyDescent="0.3">
      <c r="A60" s="2" t="s">
        <v>139</v>
      </c>
      <c r="B60" s="3" t="s">
        <v>140</v>
      </c>
      <c r="C60" s="2" t="s">
        <v>15</v>
      </c>
      <c r="D60" s="2">
        <v>1992</v>
      </c>
      <c r="E60" s="2">
        <v>32</v>
      </c>
      <c r="F60" s="3" t="s">
        <v>61</v>
      </c>
      <c r="G60" s="3" t="s">
        <v>40</v>
      </c>
      <c r="H60" s="3" t="s">
        <v>33</v>
      </c>
      <c r="I60" s="2">
        <v>5</v>
      </c>
      <c r="J60" s="4">
        <v>2481.42</v>
      </c>
      <c r="K60" s="2">
        <v>2</v>
      </c>
      <c r="L60" s="5"/>
      <c r="M60" s="2" t="s">
        <v>19</v>
      </c>
    </row>
    <row r="61" spans="1:13" ht="15" customHeight="1" x14ac:dyDescent="0.3">
      <c r="A61" s="6" t="s">
        <v>141</v>
      </c>
      <c r="B61" s="7" t="s">
        <v>142</v>
      </c>
      <c r="C61" s="6" t="s">
        <v>15</v>
      </c>
      <c r="D61" s="6">
        <v>1993</v>
      </c>
      <c r="E61" s="6">
        <v>31</v>
      </c>
      <c r="F61" s="7" t="s">
        <v>39</v>
      </c>
      <c r="G61" s="7" t="s">
        <v>24</v>
      </c>
      <c r="H61" s="7" t="s">
        <v>76</v>
      </c>
      <c r="I61" s="6">
        <v>7</v>
      </c>
      <c r="J61" s="8">
        <v>1299.98</v>
      </c>
      <c r="K61" s="6">
        <v>5</v>
      </c>
      <c r="L61" s="9">
        <v>9</v>
      </c>
      <c r="M61" s="6" t="s">
        <v>19</v>
      </c>
    </row>
    <row r="62" spans="1:13" ht="15" customHeight="1" x14ac:dyDescent="0.3">
      <c r="A62" s="2" t="s">
        <v>143</v>
      </c>
      <c r="B62" s="3" t="s">
        <v>137</v>
      </c>
      <c r="C62" s="2" t="s">
        <v>22</v>
      </c>
      <c r="D62" s="2">
        <v>1962</v>
      </c>
      <c r="E62" s="2">
        <v>62</v>
      </c>
      <c r="F62" s="3" t="s">
        <v>50</v>
      </c>
      <c r="G62" s="3" t="s">
        <v>17</v>
      </c>
      <c r="H62" s="3" t="s">
        <v>36</v>
      </c>
      <c r="I62" s="2">
        <v>22</v>
      </c>
      <c r="J62" s="4">
        <v>1192.72</v>
      </c>
      <c r="K62" s="2">
        <v>7</v>
      </c>
      <c r="L62" s="5">
        <v>8.5</v>
      </c>
      <c r="M62" s="2" t="s">
        <v>25</v>
      </c>
    </row>
    <row r="63" spans="1:13" ht="15" customHeight="1" x14ac:dyDescent="0.3">
      <c r="A63" s="6" t="s">
        <v>144</v>
      </c>
      <c r="B63" s="7" t="s">
        <v>99</v>
      </c>
      <c r="C63" s="6" t="s">
        <v>15</v>
      </c>
      <c r="D63" s="6">
        <v>1976</v>
      </c>
      <c r="E63" s="6">
        <v>48</v>
      </c>
      <c r="F63" s="7" t="s">
        <v>61</v>
      </c>
      <c r="G63" s="7" t="s">
        <v>40</v>
      </c>
      <c r="H63" s="7" t="s">
        <v>41</v>
      </c>
      <c r="I63" s="6">
        <v>2</v>
      </c>
      <c r="J63" s="8">
        <v>2484.1799999999998</v>
      </c>
      <c r="K63" s="6">
        <v>1</v>
      </c>
      <c r="L63" s="9"/>
      <c r="M63" s="6" t="s">
        <v>19</v>
      </c>
    </row>
    <row r="64" spans="1:13" ht="15" customHeight="1" x14ac:dyDescent="0.3">
      <c r="A64" s="2" t="s">
        <v>145</v>
      </c>
      <c r="B64" s="3" t="s">
        <v>91</v>
      </c>
      <c r="C64" s="2" t="s">
        <v>22</v>
      </c>
      <c r="D64" s="2">
        <v>1965</v>
      </c>
      <c r="E64" s="2">
        <v>59</v>
      </c>
      <c r="F64" s="3" t="s">
        <v>16</v>
      </c>
      <c r="G64" s="3" t="s">
        <v>24</v>
      </c>
      <c r="H64" s="3" t="s">
        <v>18</v>
      </c>
      <c r="I64" s="2">
        <v>10</v>
      </c>
      <c r="J64" s="4">
        <v>1034.83</v>
      </c>
      <c r="K64" s="2">
        <v>4</v>
      </c>
      <c r="L64" s="5">
        <v>7</v>
      </c>
      <c r="M64" s="2" t="s">
        <v>19</v>
      </c>
    </row>
    <row r="65" spans="1:13" ht="15" customHeight="1" x14ac:dyDescent="0.3">
      <c r="A65" s="6" t="s">
        <v>146</v>
      </c>
      <c r="B65" s="7" t="s">
        <v>73</v>
      </c>
      <c r="C65" s="6" t="s">
        <v>22</v>
      </c>
      <c r="D65" s="6">
        <v>1964</v>
      </c>
      <c r="E65" s="6">
        <v>60</v>
      </c>
      <c r="F65" s="7" t="s">
        <v>50</v>
      </c>
      <c r="G65" s="7" t="s">
        <v>32</v>
      </c>
      <c r="H65" s="7" t="s">
        <v>47</v>
      </c>
      <c r="I65" s="6">
        <v>16</v>
      </c>
      <c r="J65" s="8">
        <v>1062.1400000000001</v>
      </c>
      <c r="K65" s="6">
        <v>13</v>
      </c>
      <c r="L65" s="9">
        <v>9</v>
      </c>
      <c r="M65" s="6" t="s">
        <v>25</v>
      </c>
    </row>
    <row r="66" spans="1:13" ht="15" customHeight="1" x14ac:dyDescent="0.3">
      <c r="A66" s="2" t="s">
        <v>147</v>
      </c>
      <c r="B66" s="3" t="s">
        <v>148</v>
      </c>
      <c r="C66" s="2" t="s">
        <v>15</v>
      </c>
      <c r="D66" s="2">
        <v>1983</v>
      </c>
      <c r="E66" s="2">
        <v>41</v>
      </c>
      <c r="F66" s="3" t="s">
        <v>16</v>
      </c>
      <c r="G66" s="3" t="s">
        <v>24</v>
      </c>
      <c r="H66" s="3" t="s">
        <v>41</v>
      </c>
      <c r="I66" s="2">
        <v>2</v>
      </c>
      <c r="J66" s="4">
        <v>991.59</v>
      </c>
      <c r="K66" s="2">
        <v>7</v>
      </c>
      <c r="L66" s="5">
        <v>8.5</v>
      </c>
      <c r="M66" s="2" t="s">
        <v>19</v>
      </c>
    </row>
    <row r="67" spans="1:13" ht="15" customHeight="1" x14ac:dyDescent="0.3">
      <c r="A67" s="6" t="s">
        <v>149</v>
      </c>
      <c r="B67" s="7" t="s">
        <v>67</v>
      </c>
      <c r="C67" s="6" t="s">
        <v>22</v>
      </c>
      <c r="D67" s="6">
        <v>1980</v>
      </c>
      <c r="E67" s="6">
        <v>44</v>
      </c>
      <c r="F67" s="7" t="s">
        <v>50</v>
      </c>
      <c r="G67" s="7" t="s">
        <v>32</v>
      </c>
      <c r="H67" s="7" t="s">
        <v>36</v>
      </c>
      <c r="I67" s="6">
        <v>6</v>
      </c>
      <c r="J67" s="8">
        <v>945.7</v>
      </c>
      <c r="K67" s="6">
        <v>15</v>
      </c>
      <c r="L67" s="9">
        <v>9</v>
      </c>
      <c r="M67" s="6" t="s">
        <v>19</v>
      </c>
    </row>
    <row r="68" spans="1:13" ht="15" customHeight="1" x14ac:dyDescent="0.3">
      <c r="A68" s="2" t="s">
        <v>150</v>
      </c>
      <c r="B68" s="3" t="s">
        <v>110</v>
      </c>
      <c r="C68" s="2" t="s">
        <v>15</v>
      </c>
      <c r="D68" s="2">
        <v>1980</v>
      </c>
      <c r="E68" s="2">
        <v>44</v>
      </c>
      <c r="F68" s="3" t="s">
        <v>23</v>
      </c>
      <c r="G68" s="3" t="s">
        <v>40</v>
      </c>
      <c r="H68" s="3" t="s">
        <v>18</v>
      </c>
      <c r="I68" s="2">
        <v>5</v>
      </c>
      <c r="J68" s="4">
        <v>2153.3000000000002</v>
      </c>
      <c r="K68" s="2">
        <v>0</v>
      </c>
      <c r="L68" s="5"/>
      <c r="M68" s="2" t="s">
        <v>19</v>
      </c>
    </row>
    <row r="69" spans="1:13" ht="15" customHeight="1" x14ac:dyDescent="0.3">
      <c r="A69" s="6" t="s">
        <v>151</v>
      </c>
      <c r="B69" s="7" t="s">
        <v>142</v>
      </c>
      <c r="C69" s="6" t="s">
        <v>22</v>
      </c>
      <c r="D69" s="6">
        <v>1979</v>
      </c>
      <c r="E69" s="6">
        <v>45</v>
      </c>
      <c r="F69" s="7" t="s">
        <v>16</v>
      </c>
      <c r="G69" s="7" t="s">
        <v>24</v>
      </c>
      <c r="H69" s="7" t="s">
        <v>18</v>
      </c>
      <c r="I69" s="6">
        <v>7</v>
      </c>
      <c r="J69" s="8">
        <v>955.86</v>
      </c>
      <c r="K69" s="6">
        <v>0</v>
      </c>
      <c r="L69" s="9">
        <v>7.5</v>
      </c>
      <c r="M69" s="6" t="s">
        <v>19</v>
      </c>
    </row>
    <row r="70" spans="1:13" ht="15" customHeight="1" x14ac:dyDescent="0.3">
      <c r="A70" s="2" t="s">
        <v>152</v>
      </c>
      <c r="B70" s="3" t="s">
        <v>153</v>
      </c>
      <c r="C70" s="2" t="s">
        <v>15</v>
      </c>
      <c r="D70" s="2">
        <v>1984</v>
      </c>
      <c r="E70" s="2">
        <v>40</v>
      </c>
      <c r="F70" s="3" t="s">
        <v>16</v>
      </c>
      <c r="G70" s="3" t="s">
        <v>24</v>
      </c>
      <c r="H70" s="3" t="s">
        <v>18</v>
      </c>
      <c r="I70" s="2">
        <v>6</v>
      </c>
      <c r="J70" s="4">
        <v>1015.79</v>
      </c>
      <c r="K70" s="2">
        <v>4</v>
      </c>
      <c r="L70" s="5">
        <v>8.5</v>
      </c>
      <c r="M70" s="2" t="s">
        <v>19</v>
      </c>
    </row>
    <row r="71" spans="1:13" ht="15" customHeight="1" x14ac:dyDescent="0.3">
      <c r="A71" s="6" t="s">
        <v>154</v>
      </c>
      <c r="B71" s="7" t="s">
        <v>155</v>
      </c>
      <c r="C71" s="6" t="s">
        <v>15</v>
      </c>
      <c r="D71" s="6">
        <v>1965</v>
      </c>
      <c r="E71" s="6">
        <v>59</v>
      </c>
      <c r="F71" s="7" t="s">
        <v>31</v>
      </c>
      <c r="G71" s="7" t="s">
        <v>32</v>
      </c>
      <c r="H71" s="7" t="s">
        <v>28</v>
      </c>
      <c r="I71" s="6">
        <v>18</v>
      </c>
      <c r="J71" s="8">
        <v>1567.39</v>
      </c>
      <c r="K71" s="6">
        <v>7</v>
      </c>
      <c r="L71" s="9">
        <v>7</v>
      </c>
      <c r="M71" s="6" t="s">
        <v>19</v>
      </c>
    </row>
    <row r="72" spans="1:13" ht="15" customHeight="1" x14ac:dyDescent="0.3">
      <c r="A72" s="2" t="s">
        <v>156</v>
      </c>
      <c r="B72" s="3" t="s">
        <v>140</v>
      </c>
      <c r="C72" s="2" t="s">
        <v>22</v>
      </c>
      <c r="D72" s="2">
        <v>1976</v>
      </c>
      <c r="E72" s="2">
        <v>48</v>
      </c>
      <c r="F72" s="3" t="s">
        <v>50</v>
      </c>
      <c r="G72" s="3" t="s">
        <v>32</v>
      </c>
      <c r="H72" s="3" t="s">
        <v>41</v>
      </c>
      <c r="I72" s="2">
        <v>26</v>
      </c>
      <c r="J72" s="4">
        <v>1191.4000000000001</v>
      </c>
      <c r="K72" s="2">
        <v>13</v>
      </c>
      <c r="L72" s="5">
        <v>6.5</v>
      </c>
      <c r="M72" s="2" t="s">
        <v>19</v>
      </c>
    </row>
    <row r="73" spans="1:13" ht="15" customHeight="1" x14ac:dyDescent="0.3">
      <c r="A73" s="6" t="s">
        <v>157</v>
      </c>
      <c r="B73" s="7" t="s">
        <v>158</v>
      </c>
      <c r="C73" s="6" t="s">
        <v>15</v>
      </c>
      <c r="D73" s="6">
        <v>1997</v>
      </c>
      <c r="E73" s="6">
        <v>27</v>
      </c>
      <c r="F73" s="7" t="s">
        <v>50</v>
      </c>
      <c r="G73" s="7" t="s">
        <v>32</v>
      </c>
      <c r="H73" s="7" t="s">
        <v>36</v>
      </c>
      <c r="I73" s="6">
        <v>2</v>
      </c>
      <c r="J73" s="8">
        <v>887.11</v>
      </c>
      <c r="K73" s="6">
        <v>7</v>
      </c>
      <c r="L73" s="9">
        <v>4.5</v>
      </c>
      <c r="M73" s="6" t="s">
        <v>19</v>
      </c>
    </row>
    <row r="74" spans="1:13" ht="15" customHeight="1" x14ac:dyDescent="0.3">
      <c r="A74" s="2" t="s">
        <v>159</v>
      </c>
      <c r="B74" s="3" t="s">
        <v>160</v>
      </c>
      <c r="C74" s="2" t="s">
        <v>15</v>
      </c>
      <c r="D74" s="2">
        <v>1976</v>
      </c>
      <c r="E74" s="2">
        <v>48</v>
      </c>
      <c r="F74" s="3" t="s">
        <v>16</v>
      </c>
      <c r="G74" s="3" t="s">
        <v>24</v>
      </c>
      <c r="H74" s="3" t="s">
        <v>36</v>
      </c>
      <c r="I74" s="2">
        <v>22</v>
      </c>
      <c r="J74" s="4">
        <v>1337.64</v>
      </c>
      <c r="K74" s="2">
        <v>10</v>
      </c>
      <c r="L74" s="5">
        <v>8.5</v>
      </c>
      <c r="M74" s="2" t="s">
        <v>19</v>
      </c>
    </row>
    <row r="75" spans="1:13" ht="15" customHeight="1" x14ac:dyDescent="0.3">
      <c r="A75" s="6" t="s">
        <v>161</v>
      </c>
      <c r="B75" s="7" t="s">
        <v>162</v>
      </c>
      <c r="C75" s="6" t="s">
        <v>15</v>
      </c>
      <c r="D75" s="6">
        <v>1992</v>
      </c>
      <c r="E75" s="6">
        <v>32</v>
      </c>
      <c r="F75" s="7" t="s">
        <v>50</v>
      </c>
      <c r="G75" s="7" t="s">
        <v>24</v>
      </c>
      <c r="H75" s="7" t="s">
        <v>36</v>
      </c>
      <c r="I75" s="6">
        <v>2</v>
      </c>
      <c r="J75" s="8">
        <v>805.9</v>
      </c>
      <c r="K75" s="6">
        <v>13</v>
      </c>
      <c r="L75" s="9">
        <v>8</v>
      </c>
      <c r="M75" s="6" t="s">
        <v>19</v>
      </c>
    </row>
    <row r="76" spans="1:13" ht="15" customHeight="1" x14ac:dyDescent="0.3">
      <c r="A76" s="2" t="s">
        <v>163</v>
      </c>
      <c r="B76" s="3" t="s">
        <v>164</v>
      </c>
      <c r="C76" s="2" t="s">
        <v>15</v>
      </c>
      <c r="D76" s="2">
        <v>1969</v>
      </c>
      <c r="E76" s="2">
        <v>55</v>
      </c>
      <c r="F76" s="3" t="s">
        <v>31</v>
      </c>
      <c r="G76" s="3" t="s">
        <v>24</v>
      </c>
      <c r="H76" s="3" t="s">
        <v>41</v>
      </c>
      <c r="I76" s="2">
        <v>28</v>
      </c>
      <c r="J76" s="4">
        <v>1621.29</v>
      </c>
      <c r="K76" s="2">
        <v>2</v>
      </c>
      <c r="L76" s="5">
        <v>10</v>
      </c>
      <c r="M76" s="2" t="s">
        <v>19</v>
      </c>
    </row>
  </sheetData>
  <autoFilter ref="A1:M7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abSelected="1" zoomScaleNormal="100" workbookViewId="0">
      <selection activeCell="B16" sqref="B16:B22"/>
    </sheetView>
  </sheetViews>
  <sheetFormatPr defaultColWidth="8.6640625" defaultRowHeight="14.4" x14ac:dyDescent="0.3"/>
  <cols>
    <col min="1" max="1" width="60" customWidth="1"/>
    <col min="2" max="2" width="45" customWidth="1"/>
    <col min="3" max="3" width="16" customWidth="1"/>
    <col min="4" max="4" width="21.21875" customWidth="1"/>
    <col min="5" max="5" width="17.109375" customWidth="1"/>
    <col min="6" max="7" width="5" customWidth="1"/>
  </cols>
  <sheetData>
    <row r="1" spans="1:7" ht="24" customHeight="1" x14ac:dyDescent="0.3">
      <c r="A1" s="10" t="s">
        <v>223</v>
      </c>
    </row>
    <row r="2" spans="1:7" ht="18" customHeight="1" x14ac:dyDescent="0.3">
      <c r="A2" s="11"/>
    </row>
    <row r="3" spans="1:7" ht="7.5" customHeight="1" x14ac:dyDescent="0.3"/>
    <row r="4" spans="1:7" ht="21.75" customHeight="1" x14ac:dyDescent="0.3">
      <c r="A4" s="12" t="s">
        <v>165</v>
      </c>
      <c r="B4" s="13"/>
      <c r="C4" s="13"/>
      <c r="D4" s="13"/>
      <c r="E4" s="13"/>
      <c r="F4" s="13"/>
      <c r="G4" s="13"/>
    </row>
    <row r="5" spans="1:7" ht="27.75" customHeight="1" x14ac:dyDescent="0.3">
      <c r="A5" s="14" t="s">
        <v>5</v>
      </c>
      <c r="B5" s="14" t="s">
        <v>166</v>
      </c>
      <c r="C5" s="14" t="s">
        <v>167</v>
      </c>
      <c r="D5" s="14" t="s">
        <v>168</v>
      </c>
      <c r="E5" s="14" t="s">
        <v>169</v>
      </c>
    </row>
    <row r="6" spans="1:7" ht="18" customHeight="1" x14ac:dyDescent="0.3">
      <c r="A6" s="15" t="s">
        <v>50</v>
      </c>
      <c r="B6" s="16"/>
      <c r="C6" s="17"/>
      <c r="D6" s="18"/>
      <c r="E6" s="19"/>
    </row>
    <row r="7" spans="1:7" ht="18" customHeight="1" x14ac:dyDescent="0.3">
      <c r="A7" s="20" t="s">
        <v>16</v>
      </c>
      <c r="B7" s="21"/>
      <c r="C7" s="22"/>
      <c r="D7" s="23"/>
      <c r="E7" s="24"/>
    </row>
    <row r="8" spans="1:7" ht="18" customHeight="1" x14ac:dyDescent="0.3">
      <c r="A8" s="15" t="s">
        <v>39</v>
      </c>
      <c r="B8" s="16"/>
      <c r="C8" s="17"/>
      <c r="D8" s="18"/>
      <c r="E8" s="19"/>
    </row>
    <row r="9" spans="1:7" ht="18" customHeight="1" x14ac:dyDescent="0.3">
      <c r="A9" s="20" t="s">
        <v>31</v>
      </c>
      <c r="B9" s="21"/>
      <c r="C9" s="22"/>
      <c r="D9" s="23"/>
      <c r="E9" s="24"/>
    </row>
    <row r="10" spans="1:7" ht="18" customHeight="1" x14ac:dyDescent="0.3">
      <c r="A10" s="15" t="s">
        <v>23</v>
      </c>
      <c r="B10" s="16"/>
      <c r="C10" s="17"/>
      <c r="D10" s="18"/>
      <c r="E10" s="19"/>
    </row>
    <row r="11" spans="1:7" ht="18" customHeight="1" x14ac:dyDescent="0.3">
      <c r="A11" s="20" t="s">
        <v>61</v>
      </c>
      <c r="B11" s="21"/>
      <c r="C11" s="22"/>
      <c r="D11" s="23"/>
      <c r="E11" s="24"/>
    </row>
    <row r="12" spans="1:7" ht="19.5" customHeight="1" x14ac:dyDescent="0.3">
      <c r="A12" s="25" t="s">
        <v>170</v>
      </c>
      <c r="B12" s="26">
        <f>SUM(B6:B11)</f>
        <v>0</v>
      </c>
      <c r="C12" s="27">
        <f>SUM(C6:C11)</f>
        <v>0</v>
      </c>
      <c r="D12" s="28">
        <f>SUM(D6:D11)</f>
        <v>0</v>
      </c>
      <c r="E12" s="29">
        <f>SUM(E6:E11)</f>
        <v>0</v>
      </c>
    </row>
    <row r="13" spans="1:7" ht="7.5" customHeight="1" x14ac:dyDescent="0.3"/>
    <row r="14" spans="1:7" ht="21.75" customHeight="1" x14ac:dyDescent="0.3">
      <c r="A14" s="12" t="s">
        <v>171</v>
      </c>
      <c r="B14" s="13"/>
      <c r="C14" s="13"/>
      <c r="D14" s="13"/>
      <c r="E14" s="13"/>
      <c r="F14" s="13"/>
      <c r="G14" s="13"/>
    </row>
    <row r="15" spans="1:7" ht="21.75" customHeight="1" x14ac:dyDescent="0.3">
      <c r="A15" s="30" t="s">
        <v>172</v>
      </c>
      <c r="B15" s="30" t="s">
        <v>173</v>
      </c>
      <c r="C15" s="30" t="s">
        <v>174</v>
      </c>
    </row>
    <row r="16" spans="1:7" ht="18" customHeight="1" x14ac:dyDescent="0.3">
      <c r="A16" s="15" t="s">
        <v>175</v>
      </c>
      <c r="B16" s="31"/>
      <c r="C16" s="32" t="s">
        <v>176</v>
      </c>
    </row>
    <row r="17" spans="1:7" ht="18" customHeight="1" x14ac:dyDescent="0.3">
      <c r="A17" s="20" t="s">
        <v>177</v>
      </c>
      <c r="B17" s="33"/>
      <c r="C17" s="34" t="s">
        <v>176</v>
      </c>
    </row>
    <row r="18" spans="1:7" ht="18" customHeight="1" x14ac:dyDescent="0.3">
      <c r="A18" s="15" t="s">
        <v>178</v>
      </c>
      <c r="B18" s="31"/>
      <c r="C18" s="32" t="s">
        <v>176</v>
      </c>
    </row>
    <row r="19" spans="1:7" ht="18" customHeight="1" x14ac:dyDescent="0.3">
      <c r="A19" s="20" t="s">
        <v>179</v>
      </c>
      <c r="B19" s="33"/>
      <c r="C19" s="34" t="s">
        <v>180</v>
      </c>
    </row>
    <row r="20" spans="1:7" ht="18" customHeight="1" x14ac:dyDescent="0.3">
      <c r="A20" s="15" t="s">
        <v>181</v>
      </c>
      <c r="B20" s="31"/>
      <c r="C20" s="32" t="s">
        <v>180</v>
      </c>
    </row>
    <row r="21" spans="1:7" ht="18" customHeight="1" x14ac:dyDescent="0.3">
      <c r="A21" s="20" t="s">
        <v>182</v>
      </c>
      <c r="B21" s="33"/>
      <c r="C21" s="34" t="s">
        <v>180</v>
      </c>
    </row>
    <row r="22" spans="1:7" ht="18" customHeight="1" x14ac:dyDescent="0.3">
      <c r="A22" s="15" t="s">
        <v>183</v>
      </c>
      <c r="B22" s="35"/>
      <c r="C22" s="32" t="s">
        <v>184</v>
      </c>
    </row>
    <row r="23" spans="1:7" ht="7.5" customHeight="1" x14ac:dyDescent="0.3"/>
    <row r="24" spans="1:7" ht="21.75" customHeight="1" x14ac:dyDescent="0.3">
      <c r="A24" s="12" t="s">
        <v>185</v>
      </c>
      <c r="B24" s="13"/>
      <c r="C24" s="13"/>
      <c r="D24" s="13"/>
      <c r="E24" s="13"/>
      <c r="F24" s="13"/>
      <c r="G24" s="13"/>
    </row>
    <row r="25" spans="1:7" ht="18" customHeight="1" x14ac:dyDescent="0.3">
      <c r="A25" s="36" t="s">
        <v>186</v>
      </c>
    </row>
    <row r="26" spans="1:7" ht="18" customHeight="1" x14ac:dyDescent="0.3">
      <c r="A26" s="37" t="s">
        <v>187</v>
      </c>
    </row>
    <row r="27" spans="1:7" ht="18" customHeight="1" x14ac:dyDescent="0.3">
      <c r="A27" s="38" t="s">
        <v>188</v>
      </c>
    </row>
    <row r="28" spans="1:7" ht="7.5" customHeight="1" x14ac:dyDescent="0.3"/>
    <row r="29" spans="1:7" ht="21.75" customHeight="1" x14ac:dyDescent="0.3">
      <c r="A29" s="39" t="s">
        <v>189</v>
      </c>
      <c r="B29" s="40"/>
      <c r="C29" s="40"/>
      <c r="D29" s="40"/>
      <c r="E29" s="40"/>
      <c r="F29" s="40"/>
      <c r="G29" s="40"/>
    </row>
    <row r="30" spans="1:7" ht="24" customHeight="1" x14ac:dyDescent="0.3">
      <c r="A30" s="41" t="s">
        <v>190</v>
      </c>
    </row>
    <row r="31" spans="1:7" ht="24" customHeight="1" x14ac:dyDescent="0.3">
      <c r="A31" s="42" t="s">
        <v>191</v>
      </c>
    </row>
    <row r="32" spans="1:7" ht="24" customHeight="1" x14ac:dyDescent="0.3">
      <c r="A32" s="41" t="s">
        <v>192</v>
      </c>
    </row>
    <row r="33" spans="1:1" ht="24" customHeight="1" x14ac:dyDescent="0.3">
      <c r="A33" s="42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75" customWidth="1"/>
  </cols>
  <sheetData>
    <row r="1" spans="1:2" ht="24" customHeight="1" x14ac:dyDescent="0.3">
      <c r="A1" s="43" t="s">
        <v>194</v>
      </c>
    </row>
    <row r="2" spans="1:2" ht="18" customHeight="1" x14ac:dyDescent="0.3">
      <c r="A2" s="44"/>
      <c r="B2" s="45"/>
    </row>
    <row r="3" spans="1:2" ht="18" customHeight="1" x14ac:dyDescent="0.3">
      <c r="A3" s="46" t="s">
        <v>195</v>
      </c>
      <c r="B3" s="45">
        <f>COUNTIF(Mapa_Pessoal!F:F,"Assistente Técnico")</f>
        <v>22</v>
      </c>
    </row>
    <row r="4" spans="1:2" ht="18" customHeight="1" x14ac:dyDescent="0.3">
      <c r="A4" s="46" t="s">
        <v>196</v>
      </c>
      <c r="B4" s="45">
        <f>SUMIF(Mapa_Pessoal!F:F,"Assistente Técnico",Mapa_Pessoal!J:J)</f>
        <v>25416.079999999998</v>
      </c>
    </row>
    <row r="5" spans="1:2" ht="18" customHeight="1" x14ac:dyDescent="0.3">
      <c r="A5" s="46" t="s">
        <v>197</v>
      </c>
      <c r="B5" s="45" t="s">
        <v>198</v>
      </c>
    </row>
    <row r="6" spans="1:2" ht="18" customHeight="1" x14ac:dyDescent="0.3">
      <c r="A6" s="46" t="s">
        <v>199</v>
      </c>
      <c r="B6" s="45" t="s">
        <v>200</v>
      </c>
    </row>
    <row r="7" spans="1:2" ht="18" customHeight="1" x14ac:dyDescent="0.3">
      <c r="A7" s="44"/>
      <c r="B7" s="45"/>
    </row>
    <row r="8" spans="1:2" ht="18" customHeight="1" x14ac:dyDescent="0.3">
      <c r="A8" s="46" t="s">
        <v>201</v>
      </c>
      <c r="B8" s="45">
        <f>AVERAGE(Mapa_Pessoal!J:J)</f>
        <v>1391.324533333333</v>
      </c>
    </row>
    <row r="9" spans="1:2" ht="18" customHeight="1" x14ac:dyDescent="0.3">
      <c r="A9" s="46" t="s">
        <v>202</v>
      </c>
      <c r="B9" s="45">
        <f>AVERAGE(Mapa_Pessoal!K:K)</f>
        <v>6.68</v>
      </c>
    </row>
    <row r="10" spans="1:2" ht="18" customHeight="1" x14ac:dyDescent="0.3">
      <c r="A10" s="46" t="s">
        <v>203</v>
      </c>
      <c r="B10" s="45" t="s">
        <v>204</v>
      </c>
    </row>
    <row r="11" spans="1:2" ht="18" customHeight="1" x14ac:dyDescent="0.3">
      <c r="A11" s="46" t="s">
        <v>205</v>
      </c>
      <c r="B11" s="45">
        <f>COUNTIF(Mapa_Pessoal!M:M,"Sim")</f>
        <v>15</v>
      </c>
    </row>
    <row r="12" spans="1:2" ht="18" customHeight="1" x14ac:dyDescent="0.3">
      <c r="A12" s="46" t="s">
        <v>206</v>
      </c>
      <c r="B12" s="45" t="s">
        <v>207</v>
      </c>
    </row>
    <row r="13" spans="1:2" ht="18" customHeight="1" x14ac:dyDescent="0.3">
      <c r="A13" s="46" t="s">
        <v>208</v>
      </c>
      <c r="B13" s="45">
        <f>COUNTIF(Mapa_Pessoal!K:K,"&gt;10")</f>
        <v>19</v>
      </c>
    </row>
    <row r="14" spans="1:2" ht="18" customHeight="1" x14ac:dyDescent="0.3">
      <c r="A14" s="46" t="s">
        <v>209</v>
      </c>
      <c r="B14" s="45">
        <f>SUMIF(Mapa_Pessoal!M:M,"Sim",Mapa_Pessoal!J:J)*12</f>
        <v>268412.28000000003</v>
      </c>
    </row>
    <row r="15" spans="1:2" ht="18" customHeight="1" x14ac:dyDescent="0.3">
      <c r="A15" s="44"/>
      <c r="B15" s="45"/>
    </row>
    <row r="16" spans="1:2" ht="18" customHeight="1" x14ac:dyDescent="0.3">
      <c r="A16" s="46" t="s">
        <v>210</v>
      </c>
      <c r="B16" s="45" t="s">
        <v>211</v>
      </c>
    </row>
    <row r="17" spans="1:2" ht="18" customHeight="1" x14ac:dyDescent="0.3">
      <c r="A17" s="44" t="s">
        <v>212</v>
      </c>
      <c r="B17" s="45" t="s">
        <v>213</v>
      </c>
    </row>
    <row r="18" spans="1:2" ht="18" customHeight="1" x14ac:dyDescent="0.3">
      <c r="A18" s="44"/>
      <c r="B18" s="45"/>
    </row>
    <row r="19" spans="1:2" ht="18" customHeight="1" x14ac:dyDescent="0.3">
      <c r="A19" s="46" t="s">
        <v>214</v>
      </c>
      <c r="B19" s="45"/>
    </row>
    <row r="20" spans="1:2" ht="18" customHeight="1" x14ac:dyDescent="0.3">
      <c r="A20" s="44" t="s">
        <v>215</v>
      </c>
      <c r="B20" s="45" t="s">
        <v>216</v>
      </c>
    </row>
    <row r="21" spans="1:2" ht="18" customHeight="1" x14ac:dyDescent="0.3">
      <c r="A21" s="44" t="s">
        <v>217</v>
      </c>
      <c r="B21" s="45" t="s">
        <v>218</v>
      </c>
    </row>
    <row r="22" spans="1:2" ht="18" customHeight="1" x14ac:dyDescent="0.3">
      <c r="A22" s="44" t="s">
        <v>219</v>
      </c>
      <c r="B22" s="45" t="s">
        <v>220</v>
      </c>
    </row>
    <row r="23" spans="1:2" ht="18" customHeight="1" x14ac:dyDescent="0.3">
      <c r="A23" s="44" t="s">
        <v>221</v>
      </c>
      <c r="B23" s="45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Mapa_Pessoal</vt:lpstr>
      <vt:lpstr>Análise</vt:lpstr>
      <vt:lpstr>Resolução_Docente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Filipe Pereira Salvador</cp:lastModifiedBy>
  <cp:revision>0</cp:revision>
  <dcterms:created xsi:type="dcterms:W3CDTF">2026-02-28T17:16:51Z</dcterms:created>
  <dcterms:modified xsi:type="dcterms:W3CDTF">2026-03-01T16:33:42Z</dcterms:modified>
  <dc:language>en-US</dc:language>
</cp:coreProperties>
</file>