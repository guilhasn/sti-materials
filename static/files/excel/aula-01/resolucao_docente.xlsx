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nuno_salvador_ipleiria_pt/Documents/2025-2026/MAP/Práticas/Ficha Prática 1 - Excel/"/>
    </mc:Choice>
  </mc:AlternateContent>
  <xr:revisionPtr revIDLastSave="43" documentId="11_6C46CF275E22C9CC98FBCB89C717B61E4359C0EB" xr6:coauthVersionLast="47" xr6:coauthVersionMax="47" xr10:uidLastSave="{C3465623-0872-4ADE-A8F1-3D891620C8CC}"/>
  <bookViews>
    <workbookView xWindow="-108" yWindow="-108" windowWidth="23256" windowHeight="13896" tabRatio="500" firstSheet="2" activeTab="7" xr2:uid="{00000000-000D-0000-FFFF-FFFF00000000}"/>
  </bookViews>
  <sheets>
    <sheet name="Folha1" sheetId="4" r:id="rId1"/>
    <sheet name="Folha2" sheetId="5" r:id="rId2"/>
    <sheet name="Folha3" sheetId="6" r:id="rId3"/>
    <sheet name="Folha4" sheetId="7" r:id="rId4"/>
    <sheet name="Folha5" sheetId="8" r:id="rId5"/>
    <sheet name="Folha6" sheetId="9" r:id="rId6"/>
    <sheet name="Dados_Atendimento" sheetId="1" r:id="rId7"/>
    <sheet name="Análise" sheetId="2" r:id="rId8"/>
    <sheet name="Resolução_Docente" sheetId="3" state="hidden" r:id="rId9"/>
  </sheets>
  <definedNames>
    <definedName name="_xlnm._FilterDatabase" localSheetId="6" hidden="1">Dados_Atendimento!$A$1:$I$81</definedName>
  </definedNames>
  <calcPr calcId="191029"/>
  <pivotCaches>
    <pivotCache cacheId="0" r:id="rId10"/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2" l="1"/>
  <c r="B16" i="2"/>
  <c r="B15" i="2"/>
  <c r="B13" i="3"/>
  <c r="B12" i="3"/>
  <c r="B11" i="3"/>
  <c r="B10" i="3"/>
  <c r="B9" i="3"/>
  <c r="B8" i="3"/>
  <c r="B14" i="2"/>
  <c r="B13" i="2"/>
  <c r="B12" i="2"/>
</calcChain>
</file>

<file path=xl/sharedStrings.xml><?xml version="1.0" encoding="utf-8"?>
<sst xmlns="http://schemas.openxmlformats.org/spreadsheetml/2006/main" count="706" uniqueCount="168">
  <si>
    <t>ID_Pedido</t>
  </si>
  <si>
    <t>Mês</t>
  </si>
  <si>
    <t>Balcão</t>
  </si>
  <si>
    <t>Tipo_Serviço</t>
  </si>
  <si>
    <t>Canal</t>
  </si>
  <si>
    <t>Técnico</t>
  </si>
  <si>
    <t>Tempo_Resposta_Dias</t>
  </si>
  <si>
    <t>Estado</t>
  </si>
  <si>
    <t>Satisfação_Cidadão</t>
  </si>
  <si>
    <t>AT001</t>
  </si>
  <si>
    <t>Janeiro</t>
  </si>
  <si>
    <t>Balcão Único</t>
  </si>
  <si>
    <t>Reclamação</t>
  </si>
  <si>
    <t>Presencial</t>
  </si>
  <si>
    <t>Eva Santos</t>
  </si>
  <si>
    <t>Concluído</t>
  </si>
  <si>
    <t>AT002</t>
  </si>
  <si>
    <t>Apoio Social</t>
  </si>
  <si>
    <t>AT003</t>
  </si>
  <si>
    <t>Atestado de Residência</t>
  </si>
  <si>
    <t>Telefone</t>
  </si>
  <si>
    <t>Bruno Costa</t>
  </si>
  <si>
    <t>Em análise</t>
  </si>
  <si>
    <t>AT004</t>
  </si>
  <si>
    <t>Urbanismo</t>
  </si>
  <si>
    <t>Online</t>
  </si>
  <si>
    <t>Ana Silva</t>
  </si>
  <si>
    <t>AT005</t>
  </si>
  <si>
    <t>Finanças Municipais</t>
  </si>
  <si>
    <t>Licença de Obras</t>
  </si>
  <si>
    <t>AT006</t>
  </si>
  <si>
    <t>Março</t>
  </si>
  <si>
    <t>AT007</t>
  </si>
  <si>
    <t>SAAS</t>
  </si>
  <si>
    <t>AT008</t>
  </si>
  <si>
    <t>Carla Mendes</t>
  </si>
  <si>
    <t>AT009</t>
  </si>
  <si>
    <t>Fevereiro</t>
  </si>
  <si>
    <t>Certidão Predial</t>
  </si>
  <si>
    <t>AT010</t>
  </si>
  <si>
    <t>AT011</t>
  </si>
  <si>
    <t>Informação Urbanística</t>
  </si>
  <si>
    <t>AT012</t>
  </si>
  <si>
    <t>AT013</t>
  </si>
  <si>
    <t>AT014</t>
  </si>
  <si>
    <t>Pendente</t>
  </si>
  <si>
    <t>AT015</t>
  </si>
  <si>
    <t>David Ferreira</t>
  </si>
  <si>
    <t>AT016</t>
  </si>
  <si>
    <t>Licença Comercial</t>
  </si>
  <si>
    <t>AT017</t>
  </si>
  <si>
    <t>AT018</t>
  </si>
  <si>
    <t>AT019</t>
  </si>
  <si>
    <t>AT020</t>
  </si>
  <si>
    <t>AT021</t>
  </si>
  <si>
    <t>AT022</t>
  </si>
  <si>
    <t>AT023</t>
  </si>
  <si>
    <t>AT024</t>
  </si>
  <si>
    <t>AT025</t>
  </si>
  <si>
    <t>AT026</t>
  </si>
  <si>
    <t>AT027</t>
  </si>
  <si>
    <t>AT028</t>
  </si>
  <si>
    <t>AT029</t>
  </si>
  <si>
    <t>AT030</t>
  </si>
  <si>
    <t>AT031</t>
  </si>
  <si>
    <t>AT032</t>
  </si>
  <si>
    <t>AT033</t>
  </si>
  <si>
    <t>AT034</t>
  </si>
  <si>
    <t>AT035</t>
  </si>
  <si>
    <t>AT036</t>
  </si>
  <si>
    <t>AT037</t>
  </si>
  <si>
    <t>AT038</t>
  </si>
  <si>
    <t>AT039</t>
  </si>
  <si>
    <t>AT040</t>
  </si>
  <si>
    <t>AT041</t>
  </si>
  <si>
    <t>AT042</t>
  </si>
  <si>
    <t>AT043</t>
  </si>
  <si>
    <t>AT044</t>
  </si>
  <si>
    <t>AT045</t>
  </si>
  <si>
    <t>AT046</t>
  </si>
  <si>
    <t>AT047</t>
  </si>
  <si>
    <t>AT048</t>
  </si>
  <si>
    <t>AT049</t>
  </si>
  <si>
    <t>AT050</t>
  </si>
  <si>
    <t>AT051</t>
  </si>
  <si>
    <t>AT052</t>
  </si>
  <si>
    <t>AT053</t>
  </si>
  <si>
    <t>AT054</t>
  </si>
  <si>
    <t>AT055</t>
  </si>
  <si>
    <t>AT056</t>
  </si>
  <si>
    <t>AT057</t>
  </si>
  <si>
    <t>AT058</t>
  </si>
  <si>
    <t>AT059</t>
  </si>
  <si>
    <t>AT060</t>
  </si>
  <si>
    <t>AT061</t>
  </si>
  <si>
    <t>AT062</t>
  </si>
  <si>
    <t>AT063</t>
  </si>
  <si>
    <t>AT064</t>
  </si>
  <si>
    <t>AT065</t>
  </si>
  <si>
    <t>AT066</t>
  </si>
  <si>
    <t>AT067</t>
  </si>
  <si>
    <t>AT068</t>
  </si>
  <si>
    <t>AT069</t>
  </si>
  <si>
    <t>AT070</t>
  </si>
  <si>
    <t>AT071</t>
  </si>
  <si>
    <t>AT072</t>
  </si>
  <si>
    <t>AT073</t>
  </si>
  <si>
    <t>AT074</t>
  </si>
  <si>
    <t>AT075</t>
  </si>
  <si>
    <t>AT076</t>
  </si>
  <si>
    <t>AT077</t>
  </si>
  <si>
    <t>AT078</t>
  </si>
  <si>
    <t>AT079</t>
  </si>
  <si>
    <t>AT080</t>
  </si>
  <si>
    <t>ANÁLISE DE ATENDIMENTO MUNICIPAL — 1.º Trimestre 2024</t>
  </si>
  <si>
    <t>Município de Pombal  |  Divisão de Informática, Modernização e Sistemas Inteligentes</t>
  </si>
  <si>
    <t>SECÇÃO A — Tabelas Dinâmicas (Exercícios 1 e 2)</t>
  </si>
  <si>
    <t>EX.1 → Inserir Tabela Dinâmica NUMA FOLHA NOVA chamada 'TD_Serviços'</t>
  </si>
  <si>
    <t xml:space="preserve">     Linhas: Tipo_Serviço  |  Colunas: Canal  |  Valores: Contagem de ID_Pedido</t>
  </si>
  <si>
    <t>EX.2 → Segunda Tabela Dinâmica NUMA FOLHA NOVA chamada 'TD_Balcões'</t>
  </si>
  <si>
    <t xml:space="preserve">     Linhas: Balcão  |  Colunas: Mês  |  Filtro de Relatório: Estado  |  Valores: Contagem</t>
  </si>
  <si>
    <t>SECÇÃO B — Indicadores de Desempenho com CONTAR.SE (Exercício 3)</t>
  </si>
  <si>
    <t>Indicador</t>
  </si>
  <si>
    <t>Resultado</t>
  </si>
  <si>
    <t>Fórmula a usar</t>
  </si>
  <si>
    <t>Total de pedidos Concluídos</t>
  </si>
  <si>
    <t>CONTAR.SE</t>
  </si>
  <si>
    <t>Total de pedidos Pendentes</t>
  </si>
  <si>
    <t>Total de pedidos Online</t>
  </si>
  <si>
    <t>Média de satisfação</t>
  </si>
  <si>
    <t>MÉDIA</t>
  </si>
  <si>
    <t>Pedidos resolvidos em ≤ 5 dias</t>
  </si>
  <si>
    <t>SECÇÃO C — Classificação de Urgência com SE (Exercício 4)</t>
  </si>
  <si>
    <t>Na folha Dados_Atendimento, criar coluna J: "Urgência"</t>
  </si>
  <si>
    <t>Critério: SE Tempo_Resposta_Dias &gt; 10 → Crítico  |  SE &gt; 5 → Moderado  |  caso contrário → Normal</t>
  </si>
  <si>
    <t>Fórmula (Excel PT): =SE(G2&gt;10;"Crítico";SE(G2&gt;5;"Moderado";"Normal"))   ←  arrastar até J81</t>
  </si>
  <si>
    <t>SECÇÃO D — Perguntas de Gestão (Exercício 5)</t>
  </si>
  <si>
    <t>1.  Qual o serviço com maior tempo médio de resposta? O que recomendas para o melhorar?</t>
  </si>
  <si>
    <t>2.  Existe diferença de satisfação entre pedidos online e presenciais?</t>
  </si>
  <si>
    <t>3.  Qual o técnico com mais pedidos Críticos? Que acção tomarias como gestor?</t>
  </si>
  <si>
    <t>4.  Se tivesses de concentrar recursos num único balcão, qual escolherias? Justifica com dados.</t>
  </si>
  <si>
    <t>RESOLUÇÃO — APENAS PARA DOCENTE</t>
  </si>
  <si>
    <t>EX. 1 — Tabela Dinâmica</t>
  </si>
  <si>
    <t>Inserir &gt; Tabela Dinâmica &gt; Seleccionar Dados_Atendimento!A1:I81</t>
  </si>
  <si>
    <t>Linhas:</t>
  </si>
  <si>
    <t>Colunas:</t>
  </si>
  <si>
    <t>Valores:</t>
  </si>
  <si>
    <t>Contagem de ID_Pedido</t>
  </si>
  <si>
    <t>EX. 2 — CONTAR.SE Concluídos</t>
  </si>
  <si>
    <t>EX. 2 — CONTAR.SE Pendentes</t>
  </si>
  <si>
    <t>EX. 2 — CONTAR.SE Online</t>
  </si>
  <si>
    <t>EX. 2 — Prazo ≤ 5 dias</t>
  </si>
  <si>
    <t>EX. 4 — SE Urgência (col. J linha 2)</t>
  </si>
  <si>
    <t>Arrastar até J81</t>
  </si>
  <si>
    <t>EX. 5 — Resposta esperada (exemplo):</t>
  </si>
  <si>
    <t>Serviço crítico:</t>
  </si>
  <si>
    <t>Licença Comercial (~22 dias médios) e Licença de Obras (~18 dias)</t>
  </si>
  <si>
    <t>Acção sugerida:</t>
  </si>
  <si>
    <t>Simplificação administrativa, desmaterialização do processo, delegação de competências</t>
  </si>
  <si>
    <t>Canal vs Satisfação:</t>
  </si>
  <si>
    <t>Analisar média de satisfação por canal via tabela dinâmica</t>
  </si>
  <si>
    <t>Rótulos de Linha</t>
  </si>
  <si>
    <t>Total Geral</t>
  </si>
  <si>
    <t>Rótulos de Coluna</t>
  </si>
  <si>
    <t>(Tudo)</t>
  </si>
  <si>
    <t>Urgencia</t>
  </si>
  <si>
    <t>Média de Tempo_Resposta_Dias</t>
  </si>
  <si>
    <t>Média de Satisfação_Cidadão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</si>
</sst>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1E4FA0"/>
      <name val="Arial"/>
      <family val="2"/>
    </font>
    <font>
      <i/>
      <sz val="10"/>
      <color rgb="FF6B7C99"/>
      <name val="Arial"/>
      <family val="2"/>
    </font>
    <font>
      <b/>
      <sz val="11"/>
      <color rgb="FFFFFFFF"/>
      <name val="Arial"/>
      <family val="2"/>
    </font>
    <font>
      <b/>
      <sz val="10"/>
      <color rgb="FF1E4FA0"/>
      <name val="Arial"/>
      <family val="2"/>
    </font>
    <font>
      <sz val="10"/>
      <color rgb="FF2D2D2D"/>
      <name val="Arial"/>
      <family val="2"/>
    </font>
    <font>
      <sz val="10"/>
      <color rgb="FF1E4FA0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4FA0"/>
        <bgColor rgb="FF1B3A6B"/>
      </patternFill>
    </fill>
    <fill>
      <patternFill patternType="solid">
        <fgColor rgb="FFEEF2FA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B3A6B"/>
        <bgColor rgb="FF1E4FA0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/>
    <xf numFmtId="0" fontId="4" fillId="4" borderId="0" xfId="0" applyFont="1" applyFill="1"/>
    <xf numFmtId="0" fontId="5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" fillId="6" borderId="0" xfId="0" applyFont="1" applyFill="1"/>
    <xf numFmtId="0" fontId="0" fillId="6" borderId="0" xfId="0" applyFill="1"/>
    <xf numFmtId="0" fontId="7" fillId="5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2" fillId="0" borderId="0" xfId="0" applyFont="1"/>
    <xf numFmtId="0" fontId="8" fillId="0" borderId="0" xfId="0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9" fillId="7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7C99"/>
      <rgbColor rgb="FF9999FF"/>
      <rgbColor rgb="FF993366"/>
      <rgbColor rgb="FFF7F9FC"/>
      <rgbColor rgb="FFEE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[STI_MAP_Ficha01_Dataset - Cópia.xlsx]Folha4!Tabela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Folha4!$B$3:$B$4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Folha4!$A$5:$A$9</c:f>
              <c:strCache>
                <c:ptCount val="4"/>
                <c:pt idx="0">
                  <c:v>Balcão Único</c:v>
                </c:pt>
                <c:pt idx="1">
                  <c:v>Finanças Municipais</c:v>
                </c:pt>
                <c:pt idx="2">
                  <c:v>SAAS</c:v>
                </c:pt>
                <c:pt idx="3">
                  <c:v>Urbanismo</c:v>
                </c:pt>
              </c:strCache>
            </c:strRef>
          </c:cat>
          <c:val>
            <c:numRef>
              <c:f>Folha4!$B$5:$B$9</c:f>
              <c:numCache>
                <c:formatCode>General</c:formatCode>
                <c:ptCount val="4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D-4EBB-91E3-FABCA23E2A83}"/>
            </c:ext>
          </c:extLst>
        </c:ser>
        <c:ser>
          <c:idx val="1"/>
          <c:order val="1"/>
          <c:tx>
            <c:strRef>
              <c:f>Folha4!$C$3:$C$4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Folha4!$A$5:$A$9</c:f>
              <c:strCache>
                <c:ptCount val="4"/>
                <c:pt idx="0">
                  <c:v>Balcão Único</c:v>
                </c:pt>
                <c:pt idx="1">
                  <c:v>Finanças Municipais</c:v>
                </c:pt>
                <c:pt idx="2">
                  <c:v>SAAS</c:v>
                </c:pt>
                <c:pt idx="3">
                  <c:v>Urbanismo</c:v>
                </c:pt>
              </c:strCache>
            </c:strRef>
          </c:cat>
          <c:val>
            <c:numRef>
              <c:f>Folha4!$C$5:$C$9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D-4EBB-91E3-FABCA23E2A83}"/>
            </c:ext>
          </c:extLst>
        </c:ser>
        <c:ser>
          <c:idx val="2"/>
          <c:order val="2"/>
          <c:tx>
            <c:strRef>
              <c:f>Folha4!$D$3:$D$4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Folha4!$A$5:$A$9</c:f>
              <c:strCache>
                <c:ptCount val="4"/>
                <c:pt idx="0">
                  <c:v>Balcão Único</c:v>
                </c:pt>
                <c:pt idx="1">
                  <c:v>Finanças Municipais</c:v>
                </c:pt>
                <c:pt idx="2">
                  <c:v>SAAS</c:v>
                </c:pt>
                <c:pt idx="3">
                  <c:v>Urbanismo</c:v>
                </c:pt>
              </c:strCache>
            </c:strRef>
          </c:cat>
          <c:val>
            <c:numRef>
              <c:f>Folha4!$D$5:$D$9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D-4EBB-91E3-FABCA23E2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6448"/>
        <c:axId val="73575920"/>
      </c:barChart>
      <c:catAx>
        <c:axId val="1163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575920"/>
        <c:crosses val="autoZero"/>
        <c:auto val="1"/>
        <c:lblAlgn val="ctr"/>
        <c:lblOffset val="100"/>
        <c:noMultiLvlLbl val="0"/>
      </c:catAx>
      <c:valAx>
        <c:axId val="735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3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14</xdr:row>
      <xdr:rowOff>3810</xdr:rowOff>
    </xdr:from>
    <xdr:to>
      <xdr:col>10</xdr:col>
      <xdr:colOff>335280</xdr:colOff>
      <xdr:row>29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92FF7D-84DA-AE59-5E99-D6D39B102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o Salvador" refreshedDate="46081.504018171298" createdVersion="8" refreshedVersion="8" minRefreshableVersion="3" recordCount="80" xr:uid="{0C081798-710C-49B9-8D26-E103EE3FCEAC}">
  <cacheSource type="worksheet">
    <worksheetSource ref="A1:I81" sheet="Dados_Atendimento"/>
  </cacheSource>
  <cacheFields count="9">
    <cacheField name="ID_Pedido" numFmtId="0">
      <sharedItems/>
    </cacheField>
    <cacheField name="Mês" numFmtId="0">
      <sharedItems count="3">
        <s v="Janeiro"/>
        <s v="Março"/>
        <s v="Fevereiro"/>
      </sharedItems>
    </cacheField>
    <cacheField name="Balcão" numFmtId="0">
      <sharedItems count="4">
        <s v="Balcão Único"/>
        <s v="Urbanismo"/>
        <s v="Finanças Municipais"/>
        <s v="SAAS"/>
      </sharedItems>
    </cacheField>
    <cacheField name="Tipo_Serviço" numFmtId="0">
      <sharedItems count="7">
        <s v="Reclamação"/>
        <s v="Apoio Social"/>
        <s v="Atestado de Residência"/>
        <s v="Licença de Obras"/>
        <s v="Certidão Predial"/>
        <s v="Informação Urbanística"/>
        <s v="Licença Comercial"/>
      </sharedItems>
    </cacheField>
    <cacheField name="Canal" numFmtId="0">
      <sharedItems count="3">
        <s v="Presencial"/>
        <s v="Telefone"/>
        <s v="Online"/>
      </sharedItems>
    </cacheField>
    <cacheField name="Técnico" numFmtId="0">
      <sharedItems/>
    </cacheField>
    <cacheField name="Tempo_Resposta_Dias" numFmtId="0">
      <sharedItems containsSemiMixedTypes="0" containsString="0" containsNumber="1" containsInteger="1" minValue="1" maxValue="28"/>
    </cacheField>
    <cacheField name="Estado" numFmtId="0">
      <sharedItems count="3">
        <s v="Concluído"/>
        <s v="Em análise"/>
        <s v="Pendente"/>
      </sharedItems>
    </cacheField>
    <cacheField name="Satisfação_Cidadão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o Salvador" refreshedDate="46082.657332291667" createdVersion="8" refreshedVersion="8" minRefreshableVersion="3" recordCount="80" xr:uid="{EB2586C2-1B84-4452-BC6B-63183D2DFD5C}">
  <cacheSource type="worksheet">
    <worksheetSource ref="A1:J81" sheet="Dados_Atendimento"/>
  </cacheSource>
  <cacheFields count="10">
    <cacheField name="ID_Pedido" numFmtId="0">
      <sharedItems/>
    </cacheField>
    <cacheField name="Mês" numFmtId="0">
      <sharedItems count="3">
        <s v="Janeiro"/>
        <s v="Março"/>
        <s v="Fevereiro"/>
      </sharedItems>
    </cacheField>
    <cacheField name="Balcão" numFmtId="0">
      <sharedItems count="4">
        <s v="Balcão Único"/>
        <s v="Urbanismo"/>
        <s v="Finanças Municipais"/>
        <s v="SAAS"/>
      </sharedItems>
    </cacheField>
    <cacheField name="Tipo_Serviço" numFmtId="0">
      <sharedItems count="7">
        <s v="Reclamação"/>
        <s v="Apoio Social"/>
        <s v="Atestado de Residência"/>
        <s v="Licença de Obras"/>
        <s v="Certidão Predial"/>
        <s v="Informação Urbanística"/>
        <s v="Licença Comercial"/>
      </sharedItems>
    </cacheField>
    <cacheField name="Canal" numFmtId="0">
      <sharedItems count="3">
        <s v="Presencial"/>
        <s v="Telefone"/>
        <s v="Online"/>
      </sharedItems>
    </cacheField>
    <cacheField name="Técnico" numFmtId="0">
      <sharedItems/>
    </cacheField>
    <cacheField name="Tempo_Resposta_Dias" numFmtId="0">
      <sharedItems containsSemiMixedTypes="0" containsString="0" containsNumber="1" containsInteger="1" minValue="1" maxValue="28"/>
    </cacheField>
    <cacheField name="Estado" numFmtId="0">
      <sharedItems count="3">
        <s v="Concluído"/>
        <s v="Em análise"/>
        <s v="Pendente"/>
      </sharedItems>
    </cacheField>
    <cacheField name="Satisfação_Cidadão" numFmtId="0">
      <sharedItems containsString="0" containsBlank="1" containsNumber="1" containsInteger="1" minValue="1" maxValue="5"/>
    </cacheField>
    <cacheField name="Urgenc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AT001"/>
    <x v="0"/>
    <x v="0"/>
    <x v="0"/>
    <x v="0"/>
    <s v="Eva Santos"/>
    <n v="11"/>
    <x v="0"/>
    <n v="2"/>
  </r>
  <r>
    <s v="AT002"/>
    <x v="0"/>
    <x v="0"/>
    <x v="1"/>
    <x v="0"/>
    <s v="Eva Santos"/>
    <n v="5"/>
    <x v="0"/>
    <n v="2"/>
  </r>
  <r>
    <s v="AT003"/>
    <x v="0"/>
    <x v="0"/>
    <x v="2"/>
    <x v="1"/>
    <s v="Bruno Costa"/>
    <n v="1"/>
    <x v="1"/>
    <n v="4"/>
  </r>
  <r>
    <s v="AT004"/>
    <x v="0"/>
    <x v="1"/>
    <x v="0"/>
    <x v="2"/>
    <s v="Ana Silva"/>
    <n v="9"/>
    <x v="0"/>
    <n v="3"/>
  </r>
  <r>
    <s v="AT005"/>
    <x v="0"/>
    <x v="2"/>
    <x v="3"/>
    <x v="2"/>
    <s v="Eva Santos"/>
    <n v="16"/>
    <x v="0"/>
    <n v="3"/>
  </r>
  <r>
    <s v="AT006"/>
    <x v="1"/>
    <x v="1"/>
    <x v="3"/>
    <x v="2"/>
    <s v="Eva Santos"/>
    <n v="20"/>
    <x v="0"/>
    <n v="4"/>
  </r>
  <r>
    <s v="AT007"/>
    <x v="0"/>
    <x v="3"/>
    <x v="2"/>
    <x v="1"/>
    <s v="Ana Silva"/>
    <n v="4"/>
    <x v="0"/>
    <n v="3"/>
  </r>
  <r>
    <s v="AT008"/>
    <x v="0"/>
    <x v="3"/>
    <x v="1"/>
    <x v="0"/>
    <s v="Carla Mendes"/>
    <n v="8"/>
    <x v="0"/>
    <n v="4"/>
  </r>
  <r>
    <s v="AT009"/>
    <x v="2"/>
    <x v="3"/>
    <x v="4"/>
    <x v="0"/>
    <s v="Eva Santos"/>
    <n v="3"/>
    <x v="1"/>
    <n v="4"/>
  </r>
  <r>
    <s v="AT010"/>
    <x v="0"/>
    <x v="3"/>
    <x v="0"/>
    <x v="0"/>
    <s v="Carla Mendes"/>
    <n v="19"/>
    <x v="0"/>
    <n v="4"/>
  </r>
  <r>
    <s v="AT011"/>
    <x v="0"/>
    <x v="3"/>
    <x v="5"/>
    <x v="0"/>
    <s v="Eva Santos"/>
    <n v="17"/>
    <x v="0"/>
    <n v="4"/>
  </r>
  <r>
    <s v="AT012"/>
    <x v="2"/>
    <x v="2"/>
    <x v="0"/>
    <x v="0"/>
    <s v="Bruno Costa"/>
    <n v="7"/>
    <x v="0"/>
    <n v="4"/>
  </r>
  <r>
    <s v="AT013"/>
    <x v="2"/>
    <x v="2"/>
    <x v="4"/>
    <x v="0"/>
    <s v="Carla Mendes"/>
    <n v="3"/>
    <x v="0"/>
    <n v="4"/>
  </r>
  <r>
    <s v="AT014"/>
    <x v="2"/>
    <x v="0"/>
    <x v="2"/>
    <x v="0"/>
    <s v="Ana Silva"/>
    <n v="1"/>
    <x v="2"/>
    <m/>
  </r>
  <r>
    <s v="AT015"/>
    <x v="0"/>
    <x v="2"/>
    <x v="5"/>
    <x v="0"/>
    <s v="David Ferreira"/>
    <n v="11"/>
    <x v="0"/>
    <n v="4"/>
  </r>
  <r>
    <s v="AT016"/>
    <x v="0"/>
    <x v="0"/>
    <x v="6"/>
    <x v="2"/>
    <s v="Ana Silva"/>
    <n v="18"/>
    <x v="2"/>
    <m/>
  </r>
  <r>
    <s v="AT017"/>
    <x v="0"/>
    <x v="2"/>
    <x v="0"/>
    <x v="2"/>
    <s v="Ana Silva"/>
    <n v="12"/>
    <x v="0"/>
    <n v="3"/>
  </r>
  <r>
    <s v="AT018"/>
    <x v="0"/>
    <x v="0"/>
    <x v="0"/>
    <x v="1"/>
    <s v="Carla Mendes"/>
    <n v="9"/>
    <x v="0"/>
    <n v="5"/>
  </r>
  <r>
    <s v="AT019"/>
    <x v="0"/>
    <x v="0"/>
    <x v="5"/>
    <x v="1"/>
    <s v="Eva Santos"/>
    <n v="13"/>
    <x v="2"/>
    <m/>
  </r>
  <r>
    <s v="AT020"/>
    <x v="0"/>
    <x v="1"/>
    <x v="4"/>
    <x v="2"/>
    <s v="Bruno Costa"/>
    <n v="2"/>
    <x v="0"/>
    <n v="2"/>
  </r>
  <r>
    <s v="AT021"/>
    <x v="2"/>
    <x v="0"/>
    <x v="3"/>
    <x v="0"/>
    <s v="Eva Santos"/>
    <n v="19"/>
    <x v="2"/>
    <m/>
  </r>
  <r>
    <s v="AT022"/>
    <x v="2"/>
    <x v="3"/>
    <x v="5"/>
    <x v="0"/>
    <s v="Carla Mendes"/>
    <n v="14"/>
    <x v="0"/>
    <n v="4"/>
  </r>
  <r>
    <s v="AT023"/>
    <x v="1"/>
    <x v="3"/>
    <x v="6"/>
    <x v="2"/>
    <s v="Carla Mendes"/>
    <n v="28"/>
    <x v="0"/>
    <n v="5"/>
  </r>
  <r>
    <s v="AT024"/>
    <x v="2"/>
    <x v="2"/>
    <x v="1"/>
    <x v="1"/>
    <s v="Ana Silva"/>
    <n v="6"/>
    <x v="1"/>
    <n v="4"/>
  </r>
  <r>
    <s v="AT025"/>
    <x v="0"/>
    <x v="0"/>
    <x v="2"/>
    <x v="0"/>
    <s v="Ana Silva"/>
    <n v="1"/>
    <x v="0"/>
    <n v="3"/>
  </r>
  <r>
    <s v="AT026"/>
    <x v="0"/>
    <x v="1"/>
    <x v="0"/>
    <x v="1"/>
    <s v="Ana Silva"/>
    <n v="15"/>
    <x v="0"/>
    <n v="3"/>
  </r>
  <r>
    <s v="AT027"/>
    <x v="2"/>
    <x v="2"/>
    <x v="6"/>
    <x v="0"/>
    <s v="Bruno Costa"/>
    <n v="20"/>
    <x v="0"/>
    <n v="2"/>
  </r>
  <r>
    <s v="AT028"/>
    <x v="0"/>
    <x v="2"/>
    <x v="5"/>
    <x v="2"/>
    <s v="Carla Mendes"/>
    <n v="13"/>
    <x v="0"/>
    <n v="3"/>
  </r>
  <r>
    <s v="AT029"/>
    <x v="1"/>
    <x v="0"/>
    <x v="1"/>
    <x v="2"/>
    <s v="Ana Silva"/>
    <n v="8"/>
    <x v="0"/>
    <n v="4"/>
  </r>
  <r>
    <s v="AT030"/>
    <x v="0"/>
    <x v="3"/>
    <x v="1"/>
    <x v="1"/>
    <s v="Bruno Costa"/>
    <n v="7"/>
    <x v="0"/>
    <n v="5"/>
  </r>
  <r>
    <s v="AT031"/>
    <x v="0"/>
    <x v="2"/>
    <x v="2"/>
    <x v="2"/>
    <s v="Eva Santos"/>
    <n v="3"/>
    <x v="0"/>
    <n v="4"/>
  </r>
  <r>
    <s v="AT032"/>
    <x v="0"/>
    <x v="0"/>
    <x v="3"/>
    <x v="0"/>
    <s v="Bruno Costa"/>
    <n v="19"/>
    <x v="1"/>
    <n v="5"/>
  </r>
  <r>
    <s v="AT033"/>
    <x v="0"/>
    <x v="2"/>
    <x v="2"/>
    <x v="2"/>
    <s v="Ana Silva"/>
    <n v="1"/>
    <x v="0"/>
    <n v="5"/>
  </r>
  <r>
    <s v="AT034"/>
    <x v="1"/>
    <x v="2"/>
    <x v="1"/>
    <x v="0"/>
    <s v="Bruno Costa"/>
    <n v="8"/>
    <x v="0"/>
    <n v="3"/>
  </r>
  <r>
    <s v="AT035"/>
    <x v="1"/>
    <x v="1"/>
    <x v="2"/>
    <x v="0"/>
    <s v="Ana Silva"/>
    <n v="5"/>
    <x v="0"/>
    <n v="4"/>
  </r>
  <r>
    <s v="AT036"/>
    <x v="2"/>
    <x v="3"/>
    <x v="3"/>
    <x v="2"/>
    <s v="Ana Silva"/>
    <n v="17"/>
    <x v="0"/>
    <n v="4"/>
  </r>
  <r>
    <s v="AT037"/>
    <x v="2"/>
    <x v="0"/>
    <x v="6"/>
    <x v="0"/>
    <s v="Eva Santos"/>
    <n v="23"/>
    <x v="0"/>
    <n v="5"/>
  </r>
  <r>
    <s v="AT038"/>
    <x v="0"/>
    <x v="0"/>
    <x v="2"/>
    <x v="2"/>
    <s v="David Ferreira"/>
    <n v="2"/>
    <x v="2"/>
    <m/>
  </r>
  <r>
    <s v="AT039"/>
    <x v="0"/>
    <x v="1"/>
    <x v="0"/>
    <x v="2"/>
    <s v="Bruno Costa"/>
    <n v="5"/>
    <x v="2"/>
    <m/>
  </r>
  <r>
    <s v="AT040"/>
    <x v="0"/>
    <x v="2"/>
    <x v="4"/>
    <x v="2"/>
    <s v="Carla Mendes"/>
    <n v="3"/>
    <x v="0"/>
    <n v="4"/>
  </r>
  <r>
    <s v="AT041"/>
    <x v="0"/>
    <x v="3"/>
    <x v="5"/>
    <x v="0"/>
    <s v="Eva Santos"/>
    <n v="4"/>
    <x v="0"/>
    <n v="5"/>
  </r>
  <r>
    <s v="AT042"/>
    <x v="0"/>
    <x v="1"/>
    <x v="4"/>
    <x v="0"/>
    <s v="Carla Mendes"/>
    <n v="6"/>
    <x v="0"/>
    <n v="5"/>
  </r>
  <r>
    <s v="AT043"/>
    <x v="1"/>
    <x v="0"/>
    <x v="2"/>
    <x v="2"/>
    <s v="Eva Santos"/>
    <n v="1"/>
    <x v="2"/>
    <m/>
  </r>
  <r>
    <s v="AT044"/>
    <x v="0"/>
    <x v="1"/>
    <x v="4"/>
    <x v="1"/>
    <s v="Ana Silva"/>
    <n v="1"/>
    <x v="0"/>
    <n v="5"/>
  </r>
  <r>
    <s v="AT045"/>
    <x v="0"/>
    <x v="1"/>
    <x v="3"/>
    <x v="1"/>
    <s v="Bruno Costa"/>
    <n v="19"/>
    <x v="2"/>
    <m/>
  </r>
  <r>
    <s v="AT046"/>
    <x v="0"/>
    <x v="0"/>
    <x v="0"/>
    <x v="1"/>
    <s v="Ana Silva"/>
    <n v="14"/>
    <x v="0"/>
    <n v="4"/>
  </r>
  <r>
    <s v="AT047"/>
    <x v="0"/>
    <x v="3"/>
    <x v="0"/>
    <x v="2"/>
    <s v="David Ferreira"/>
    <n v="14"/>
    <x v="0"/>
    <n v="2"/>
  </r>
  <r>
    <s v="AT048"/>
    <x v="0"/>
    <x v="0"/>
    <x v="6"/>
    <x v="1"/>
    <s v="Bruno Costa"/>
    <n v="22"/>
    <x v="0"/>
    <n v="4"/>
  </r>
  <r>
    <s v="AT049"/>
    <x v="0"/>
    <x v="1"/>
    <x v="6"/>
    <x v="0"/>
    <s v="Ana Silva"/>
    <n v="20"/>
    <x v="0"/>
    <n v="2"/>
  </r>
  <r>
    <s v="AT050"/>
    <x v="0"/>
    <x v="1"/>
    <x v="4"/>
    <x v="0"/>
    <s v="Eva Santos"/>
    <n v="3"/>
    <x v="1"/>
    <n v="3"/>
  </r>
  <r>
    <s v="AT051"/>
    <x v="0"/>
    <x v="3"/>
    <x v="5"/>
    <x v="2"/>
    <s v="Bruno Costa"/>
    <n v="14"/>
    <x v="2"/>
    <m/>
  </r>
  <r>
    <s v="AT052"/>
    <x v="0"/>
    <x v="2"/>
    <x v="1"/>
    <x v="0"/>
    <s v="Bruno Costa"/>
    <n v="1"/>
    <x v="0"/>
    <n v="4"/>
  </r>
  <r>
    <s v="AT053"/>
    <x v="0"/>
    <x v="3"/>
    <x v="4"/>
    <x v="0"/>
    <s v="David Ferreira"/>
    <n v="8"/>
    <x v="1"/>
    <n v="5"/>
  </r>
  <r>
    <s v="AT054"/>
    <x v="1"/>
    <x v="3"/>
    <x v="4"/>
    <x v="0"/>
    <s v="David Ferreira"/>
    <n v="7"/>
    <x v="0"/>
    <n v="3"/>
  </r>
  <r>
    <s v="AT055"/>
    <x v="2"/>
    <x v="1"/>
    <x v="4"/>
    <x v="0"/>
    <s v="Ana Silva"/>
    <n v="6"/>
    <x v="0"/>
    <n v="4"/>
  </r>
  <r>
    <s v="AT056"/>
    <x v="0"/>
    <x v="0"/>
    <x v="3"/>
    <x v="0"/>
    <s v="Ana Silva"/>
    <n v="17"/>
    <x v="0"/>
    <n v="4"/>
  </r>
  <r>
    <s v="AT057"/>
    <x v="2"/>
    <x v="0"/>
    <x v="6"/>
    <x v="2"/>
    <s v="David Ferreira"/>
    <n v="21"/>
    <x v="0"/>
    <n v="4"/>
  </r>
  <r>
    <s v="AT058"/>
    <x v="2"/>
    <x v="0"/>
    <x v="6"/>
    <x v="0"/>
    <s v="Eva Santos"/>
    <n v="19"/>
    <x v="0"/>
    <n v="1"/>
  </r>
  <r>
    <s v="AT059"/>
    <x v="0"/>
    <x v="2"/>
    <x v="5"/>
    <x v="2"/>
    <s v="Ana Silva"/>
    <n v="14"/>
    <x v="1"/>
    <n v="4"/>
  </r>
  <r>
    <s v="AT060"/>
    <x v="0"/>
    <x v="0"/>
    <x v="0"/>
    <x v="0"/>
    <s v="Carla Mendes"/>
    <n v="7"/>
    <x v="2"/>
    <m/>
  </r>
  <r>
    <s v="AT061"/>
    <x v="0"/>
    <x v="3"/>
    <x v="6"/>
    <x v="0"/>
    <s v="David Ferreira"/>
    <n v="19"/>
    <x v="1"/>
    <n v="3"/>
  </r>
  <r>
    <s v="AT062"/>
    <x v="0"/>
    <x v="1"/>
    <x v="0"/>
    <x v="2"/>
    <s v="David Ferreira"/>
    <n v="13"/>
    <x v="1"/>
    <n v="4"/>
  </r>
  <r>
    <s v="AT063"/>
    <x v="1"/>
    <x v="1"/>
    <x v="6"/>
    <x v="0"/>
    <s v="David Ferreira"/>
    <n v="21"/>
    <x v="0"/>
    <n v="4"/>
  </r>
  <r>
    <s v="AT064"/>
    <x v="2"/>
    <x v="3"/>
    <x v="1"/>
    <x v="2"/>
    <s v="Ana Silva"/>
    <n v="11"/>
    <x v="1"/>
    <n v="3"/>
  </r>
  <r>
    <s v="AT065"/>
    <x v="0"/>
    <x v="1"/>
    <x v="4"/>
    <x v="2"/>
    <s v="Bruno Costa"/>
    <n v="2"/>
    <x v="1"/>
    <n v="5"/>
  </r>
  <r>
    <s v="AT066"/>
    <x v="0"/>
    <x v="2"/>
    <x v="5"/>
    <x v="0"/>
    <s v="Eva Santos"/>
    <n v="12"/>
    <x v="0"/>
    <n v="1"/>
  </r>
  <r>
    <s v="AT067"/>
    <x v="1"/>
    <x v="2"/>
    <x v="5"/>
    <x v="0"/>
    <s v="David Ferreira"/>
    <n v="11"/>
    <x v="0"/>
    <n v="3"/>
  </r>
  <r>
    <s v="AT068"/>
    <x v="0"/>
    <x v="0"/>
    <x v="1"/>
    <x v="0"/>
    <s v="David Ferreira"/>
    <n v="10"/>
    <x v="0"/>
    <n v="4"/>
  </r>
  <r>
    <s v="AT069"/>
    <x v="0"/>
    <x v="2"/>
    <x v="2"/>
    <x v="0"/>
    <s v="Bruno Costa"/>
    <n v="1"/>
    <x v="1"/>
    <n v="3"/>
  </r>
  <r>
    <s v="AT070"/>
    <x v="2"/>
    <x v="1"/>
    <x v="5"/>
    <x v="2"/>
    <s v="David Ferreira"/>
    <n v="14"/>
    <x v="1"/>
    <n v="4"/>
  </r>
  <r>
    <s v="AT071"/>
    <x v="2"/>
    <x v="3"/>
    <x v="6"/>
    <x v="1"/>
    <s v="David Ferreira"/>
    <n v="16"/>
    <x v="2"/>
    <m/>
  </r>
  <r>
    <s v="AT072"/>
    <x v="0"/>
    <x v="2"/>
    <x v="1"/>
    <x v="0"/>
    <s v="Bruno Costa"/>
    <n v="10"/>
    <x v="0"/>
    <n v="5"/>
  </r>
  <r>
    <s v="AT073"/>
    <x v="2"/>
    <x v="0"/>
    <x v="4"/>
    <x v="2"/>
    <s v="Bruno Costa"/>
    <n v="3"/>
    <x v="0"/>
    <n v="3"/>
  </r>
  <r>
    <s v="AT074"/>
    <x v="1"/>
    <x v="3"/>
    <x v="2"/>
    <x v="0"/>
    <s v="Ana Silva"/>
    <n v="1"/>
    <x v="0"/>
    <n v="4"/>
  </r>
  <r>
    <s v="AT075"/>
    <x v="2"/>
    <x v="2"/>
    <x v="1"/>
    <x v="2"/>
    <s v="Eva Santos"/>
    <n v="5"/>
    <x v="0"/>
    <n v="3"/>
  </r>
  <r>
    <s v="AT076"/>
    <x v="2"/>
    <x v="2"/>
    <x v="0"/>
    <x v="0"/>
    <s v="Ana Silva"/>
    <n v="11"/>
    <x v="2"/>
    <m/>
  </r>
  <r>
    <s v="AT077"/>
    <x v="1"/>
    <x v="3"/>
    <x v="4"/>
    <x v="0"/>
    <s v="David Ferreira"/>
    <n v="8"/>
    <x v="0"/>
    <n v="4"/>
  </r>
  <r>
    <s v="AT078"/>
    <x v="2"/>
    <x v="1"/>
    <x v="2"/>
    <x v="0"/>
    <s v="David Ferreira"/>
    <n v="1"/>
    <x v="0"/>
    <n v="4"/>
  </r>
  <r>
    <s v="AT079"/>
    <x v="2"/>
    <x v="0"/>
    <x v="0"/>
    <x v="0"/>
    <s v="Ana Silva"/>
    <n v="19"/>
    <x v="0"/>
    <n v="4"/>
  </r>
  <r>
    <s v="AT080"/>
    <x v="0"/>
    <x v="0"/>
    <x v="0"/>
    <x v="2"/>
    <s v="Carla Mendes"/>
    <n v="7"/>
    <x v="0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AT001"/>
    <x v="0"/>
    <x v="0"/>
    <x v="0"/>
    <x v="0"/>
    <s v="Eva Santos"/>
    <n v="11"/>
    <x v="0"/>
    <n v="2"/>
    <m/>
  </r>
  <r>
    <s v="AT002"/>
    <x v="0"/>
    <x v="0"/>
    <x v="1"/>
    <x v="0"/>
    <s v="Eva Santos"/>
    <n v="5"/>
    <x v="0"/>
    <n v="2"/>
    <m/>
  </r>
  <r>
    <s v="AT003"/>
    <x v="0"/>
    <x v="0"/>
    <x v="2"/>
    <x v="1"/>
    <s v="Bruno Costa"/>
    <n v="1"/>
    <x v="1"/>
    <n v="4"/>
    <m/>
  </r>
  <r>
    <s v="AT004"/>
    <x v="0"/>
    <x v="1"/>
    <x v="0"/>
    <x v="2"/>
    <s v="Ana Silva"/>
    <n v="9"/>
    <x v="0"/>
    <n v="3"/>
    <m/>
  </r>
  <r>
    <s v="AT005"/>
    <x v="0"/>
    <x v="2"/>
    <x v="3"/>
    <x v="2"/>
    <s v="Eva Santos"/>
    <n v="16"/>
    <x v="0"/>
    <n v="3"/>
    <m/>
  </r>
  <r>
    <s v="AT006"/>
    <x v="1"/>
    <x v="1"/>
    <x v="3"/>
    <x v="2"/>
    <s v="Eva Santos"/>
    <n v="20"/>
    <x v="0"/>
    <n v="4"/>
    <m/>
  </r>
  <r>
    <s v="AT007"/>
    <x v="0"/>
    <x v="3"/>
    <x v="2"/>
    <x v="1"/>
    <s v="Ana Silva"/>
    <n v="4"/>
    <x v="0"/>
    <n v="3"/>
    <m/>
  </r>
  <r>
    <s v="AT008"/>
    <x v="0"/>
    <x v="3"/>
    <x v="1"/>
    <x v="0"/>
    <s v="Carla Mendes"/>
    <n v="8"/>
    <x v="0"/>
    <n v="4"/>
    <m/>
  </r>
  <r>
    <s v="AT009"/>
    <x v="2"/>
    <x v="3"/>
    <x v="4"/>
    <x v="0"/>
    <s v="Eva Santos"/>
    <n v="3"/>
    <x v="1"/>
    <n v="4"/>
    <m/>
  </r>
  <r>
    <s v="AT010"/>
    <x v="0"/>
    <x v="3"/>
    <x v="0"/>
    <x v="0"/>
    <s v="Carla Mendes"/>
    <n v="19"/>
    <x v="0"/>
    <n v="4"/>
    <m/>
  </r>
  <r>
    <s v="AT011"/>
    <x v="0"/>
    <x v="3"/>
    <x v="5"/>
    <x v="0"/>
    <s v="Eva Santos"/>
    <n v="17"/>
    <x v="0"/>
    <n v="4"/>
    <m/>
  </r>
  <r>
    <s v="AT012"/>
    <x v="2"/>
    <x v="2"/>
    <x v="0"/>
    <x v="0"/>
    <s v="Bruno Costa"/>
    <n v="7"/>
    <x v="0"/>
    <n v="4"/>
    <m/>
  </r>
  <r>
    <s v="AT013"/>
    <x v="2"/>
    <x v="2"/>
    <x v="4"/>
    <x v="0"/>
    <s v="Carla Mendes"/>
    <n v="3"/>
    <x v="0"/>
    <n v="4"/>
    <m/>
  </r>
  <r>
    <s v="AT014"/>
    <x v="2"/>
    <x v="0"/>
    <x v="2"/>
    <x v="0"/>
    <s v="Ana Silva"/>
    <n v="1"/>
    <x v="2"/>
    <m/>
    <m/>
  </r>
  <r>
    <s v="AT015"/>
    <x v="0"/>
    <x v="2"/>
    <x v="5"/>
    <x v="0"/>
    <s v="David Ferreira"/>
    <n v="11"/>
    <x v="0"/>
    <n v="4"/>
    <m/>
  </r>
  <r>
    <s v="AT016"/>
    <x v="0"/>
    <x v="0"/>
    <x v="6"/>
    <x v="2"/>
    <s v="Ana Silva"/>
    <n v="18"/>
    <x v="2"/>
    <m/>
    <m/>
  </r>
  <r>
    <s v="AT017"/>
    <x v="0"/>
    <x v="2"/>
    <x v="0"/>
    <x v="2"/>
    <s v="Ana Silva"/>
    <n v="12"/>
    <x v="0"/>
    <n v="3"/>
    <m/>
  </r>
  <r>
    <s v="AT018"/>
    <x v="0"/>
    <x v="0"/>
    <x v="0"/>
    <x v="1"/>
    <s v="Carla Mendes"/>
    <n v="9"/>
    <x v="0"/>
    <n v="5"/>
    <m/>
  </r>
  <r>
    <s v="AT019"/>
    <x v="0"/>
    <x v="0"/>
    <x v="5"/>
    <x v="1"/>
    <s v="Eva Santos"/>
    <n v="13"/>
    <x v="2"/>
    <m/>
    <m/>
  </r>
  <r>
    <s v="AT020"/>
    <x v="0"/>
    <x v="1"/>
    <x v="4"/>
    <x v="2"/>
    <s v="Bruno Costa"/>
    <n v="2"/>
    <x v="0"/>
    <n v="2"/>
    <m/>
  </r>
  <r>
    <s v="AT021"/>
    <x v="2"/>
    <x v="0"/>
    <x v="3"/>
    <x v="0"/>
    <s v="Eva Santos"/>
    <n v="19"/>
    <x v="2"/>
    <m/>
    <m/>
  </r>
  <r>
    <s v="AT022"/>
    <x v="2"/>
    <x v="3"/>
    <x v="5"/>
    <x v="0"/>
    <s v="Carla Mendes"/>
    <n v="14"/>
    <x v="0"/>
    <n v="4"/>
    <m/>
  </r>
  <r>
    <s v="AT023"/>
    <x v="1"/>
    <x v="3"/>
    <x v="6"/>
    <x v="2"/>
    <s v="Carla Mendes"/>
    <n v="28"/>
    <x v="0"/>
    <n v="5"/>
    <m/>
  </r>
  <r>
    <s v="AT024"/>
    <x v="2"/>
    <x v="2"/>
    <x v="1"/>
    <x v="1"/>
    <s v="Ana Silva"/>
    <n v="6"/>
    <x v="1"/>
    <n v="4"/>
    <m/>
  </r>
  <r>
    <s v="AT025"/>
    <x v="0"/>
    <x v="0"/>
    <x v="2"/>
    <x v="0"/>
    <s v="Ana Silva"/>
    <n v="1"/>
    <x v="0"/>
    <n v="3"/>
    <m/>
  </r>
  <r>
    <s v="AT026"/>
    <x v="0"/>
    <x v="1"/>
    <x v="0"/>
    <x v="1"/>
    <s v="Ana Silva"/>
    <n v="15"/>
    <x v="0"/>
    <n v="3"/>
    <m/>
  </r>
  <r>
    <s v="AT027"/>
    <x v="2"/>
    <x v="2"/>
    <x v="6"/>
    <x v="0"/>
    <s v="Bruno Costa"/>
    <n v="20"/>
    <x v="0"/>
    <n v="2"/>
    <m/>
  </r>
  <r>
    <s v="AT028"/>
    <x v="0"/>
    <x v="2"/>
    <x v="5"/>
    <x v="2"/>
    <s v="Carla Mendes"/>
    <n v="13"/>
    <x v="0"/>
    <n v="3"/>
    <m/>
  </r>
  <r>
    <s v="AT029"/>
    <x v="1"/>
    <x v="0"/>
    <x v="1"/>
    <x v="2"/>
    <s v="Ana Silva"/>
    <n v="8"/>
    <x v="0"/>
    <n v="4"/>
    <m/>
  </r>
  <r>
    <s v="AT030"/>
    <x v="0"/>
    <x v="3"/>
    <x v="1"/>
    <x v="1"/>
    <s v="Bruno Costa"/>
    <n v="7"/>
    <x v="0"/>
    <n v="5"/>
    <m/>
  </r>
  <r>
    <s v="AT031"/>
    <x v="0"/>
    <x v="2"/>
    <x v="2"/>
    <x v="2"/>
    <s v="Eva Santos"/>
    <n v="3"/>
    <x v="0"/>
    <n v="4"/>
    <m/>
  </r>
  <r>
    <s v="AT032"/>
    <x v="0"/>
    <x v="0"/>
    <x v="3"/>
    <x v="0"/>
    <s v="Bruno Costa"/>
    <n v="19"/>
    <x v="1"/>
    <n v="5"/>
    <m/>
  </r>
  <r>
    <s v="AT033"/>
    <x v="0"/>
    <x v="2"/>
    <x v="2"/>
    <x v="2"/>
    <s v="Ana Silva"/>
    <n v="1"/>
    <x v="0"/>
    <n v="5"/>
    <m/>
  </r>
  <r>
    <s v="AT034"/>
    <x v="1"/>
    <x v="2"/>
    <x v="1"/>
    <x v="0"/>
    <s v="Bruno Costa"/>
    <n v="8"/>
    <x v="0"/>
    <n v="3"/>
    <m/>
  </r>
  <r>
    <s v="AT035"/>
    <x v="1"/>
    <x v="1"/>
    <x v="2"/>
    <x v="0"/>
    <s v="Ana Silva"/>
    <n v="5"/>
    <x v="0"/>
    <n v="4"/>
    <m/>
  </r>
  <r>
    <s v="AT036"/>
    <x v="2"/>
    <x v="3"/>
    <x v="3"/>
    <x v="2"/>
    <s v="Ana Silva"/>
    <n v="17"/>
    <x v="0"/>
    <n v="4"/>
    <m/>
  </r>
  <r>
    <s v="AT037"/>
    <x v="2"/>
    <x v="0"/>
    <x v="6"/>
    <x v="0"/>
    <s v="Eva Santos"/>
    <n v="23"/>
    <x v="0"/>
    <n v="5"/>
    <m/>
  </r>
  <r>
    <s v="AT038"/>
    <x v="0"/>
    <x v="0"/>
    <x v="2"/>
    <x v="2"/>
    <s v="David Ferreira"/>
    <n v="2"/>
    <x v="2"/>
    <m/>
    <m/>
  </r>
  <r>
    <s v="AT039"/>
    <x v="0"/>
    <x v="1"/>
    <x v="0"/>
    <x v="2"/>
    <s v="Bruno Costa"/>
    <n v="5"/>
    <x v="2"/>
    <m/>
    <m/>
  </r>
  <r>
    <s v="AT040"/>
    <x v="0"/>
    <x v="2"/>
    <x v="4"/>
    <x v="2"/>
    <s v="Carla Mendes"/>
    <n v="3"/>
    <x v="0"/>
    <n v="4"/>
    <m/>
  </r>
  <r>
    <s v="AT041"/>
    <x v="0"/>
    <x v="3"/>
    <x v="5"/>
    <x v="0"/>
    <s v="Eva Santos"/>
    <n v="4"/>
    <x v="0"/>
    <n v="5"/>
    <m/>
  </r>
  <r>
    <s v="AT042"/>
    <x v="0"/>
    <x v="1"/>
    <x v="4"/>
    <x v="0"/>
    <s v="Carla Mendes"/>
    <n v="6"/>
    <x v="0"/>
    <n v="5"/>
    <m/>
  </r>
  <r>
    <s v="AT043"/>
    <x v="1"/>
    <x v="0"/>
    <x v="2"/>
    <x v="2"/>
    <s v="Eva Santos"/>
    <n v="1"/>
    <x v="2"/>
    <m/>
    <m/>
  </r>
  <r>
    <s v="AT044"/>
    <x v="0"/>
    <x v="1"/>
    <x v="4"/>
    <x v="1"/>
    <s v="Ana Silva"/>
    <n v="1"/>
    <x v="0"/>
    <n v="5"/>
    <m/>
  </r>
  <r>
    <s v="AT045"/>
    <x v="0"/>
    <x v="1"/>
    <x v="3"/>
    <x v="1"/>
    <s v="Bruno Costa"/>
    <n v="19"/>
    <x v="2"/>
    <m/>
    <m/>
  </r>
  <r>
    <s v="AT046"/>
    <x v="0"/>
    <x v="0"/>
    <x v="0"/>
    <x v="1"/>
    <s v="Ana Silva"/>
    <n v="14"/>
    <x v="0"/>
    <n v="4"/>
    <m/>
  </r>
  <r>
    <s v="AT047"/>
    <x v="0"/>
    <x v="3"/>
    <x v="0"/>
    <x v="2"/>
    <s v="David Ferreira"/>
    <n v="14"/>
    <x v="0"/>
    <n v="2"/>
    <m/>
  </r>
  <r>
    <s v="AT048"/>
    <x v="0"/>
    <x v="0"/>
    <x v="6"/>
    <x v="1"/>
    <s v="Bruno Costa"/>
    <n v="22"/>
    <x v="0"/>
    <n v="4"/>
    <m/>
  </r>
  <r>
    <s v="AT049"/>
    <x v="0"/>
    <x v="1"/>
    <x v="6"/>
    <x v="0"/>
    <s v="Ana Silva"/>
    <n v="20"/>
    <x v="0"/>
    <n v="2"/>
    <m/>
  </r>
  <r>
    <s v="AT050"/>
    <x v="0"/>
    <x v="1"/>
    <x v="4"/>
    <x v="0"/>
    <s v="Eva Santos"/>
    <n v="3"/>
    <x v="1"/>
    <n v="3"/>
    <m/>
  </r>
  <r>
    <s v="AT051"/>
    <x v="0"/>
    <x v="3"/>
    <x v="5"/>
    <x v="2"/>
    <s v="Bruno Costa"/>
    <n v="14"/>
    <x v="2"/>
    <m/>
    <m/>
  </r>
  <r>
    <s v="AT052"/>
    <x v="0"/>
    <x v="2"/>
    <x v="1"/>
    <x v="0"/>
    <s v="Bruno Costa"/>
    <n v="1"/>
    <x v="0"/>
    <n v="4"/>
    <m/>
  </r>
  <r>
    <s v="AT053"/>
    <x v="0"/>
    <x v="3"/>
    <x v="4"/>
    <x v="0"/>
    <s v="David Ferreira"/>
    <n v="8"/>
    <x v="1"/>
    <n v="5"/>
    <m/>
  </r>
  <r>
    <s v="AT054"/>
    <x v="1"/>
    <x v="3"/>
    <x v="4"/>
    <x v="0"/>
    <s v="David Ferreira"/>
    <n v="7"/>
    <x v="0"/>
    <n v="3"/>
    <m/>
  </r>
  <r>
    <s v="AT055"/>
    <x v="2"/>
    <x v="1"/>
    <x v="4"/>
    <x v="0"/>
    <s v="Ana Silva"/>
    <n v="6"/>
    <x v="0"/>
    <n v="4"/>
    <m/>
  </r>
  <r>
    <s v="AT056"/>
    <x v="0"/>
    <x v="0"/>
    <x v="3"/>
    <x v="0"/>
    <s v="Ana Silva"/>
    <n v="17"/>
    <x v="0"/>
    <n v="4"/>
    <m/>
  </r>
  <r>
    <s v="AT057"/>
    <x v="2"/>
    <x v="0"/>
    <x v="6"/>
    <x v="2"/>
    <s v="David Ferreira"/>
    <n v="21"/>
    <x v="0"/>
    <n v="4"/>
    <m/>
  </r>
  <r>
    <s v="AT058"/>
    <x v="2"/>
    <x v="0"/>
    <x v="6"/>
    <x v="0"/>
    <s v="Eva Santos"/>
    <n v="19"/>
    <x v="0"/>
    <n v="1"/>
    <m/>
  </r>
  <r>
    <s v="AT059"/>
    <x v="0"/>
    <x v="2"/>
    <x v="5"/>
    <x v="2"/>
    <s v="Ana Silva"/>
    <n v="14"/>
    <x v="1"/>
    <n v="4"/>
    <m/>
  </r>
  <r>
    <s v="AT060"/>
    <x v="0"/>
    <x v="0"/>
    <x v="0"/>
    <x v="0"/>
    <s v="Carla Mendes"/>
    <n v="7"/>
    <x v="2"/>
    <m/>
    <m/>
  </r>
  <r>
    <s v="AT061"/>
    <x v="0"/>
    <x v="3"/>
    <x v="6"/>
    <x v="0"/>
    <s v="David Ferreira"/>
    <n v="19"/>
    <x v="1"/>
    <n v="3"/>
    <m/>
  </r>
  <r>
    <s v="AT062"/>
    <x v="0"/>
    <x v="1"/>
    <x v="0"/>
    <x v="2"/>
    <s v="David Ferreira"/>
    <n v="13"/>
    <x v="1"/>
    <n v="4"/>
    <m/>
  </r>
  <r>
    <s v="AT063"/>
    <x v="1"/>
    <x v="1"/>
    <x v="6"/>
    <x v="0"/>
    <s v="David Ferreira"/>
    <n v="21"/>
    <x v="0"/>
    <n v="4"/>
    <m/>
  </r>
  <r>
    <s v="AT064"/>
    <x v="2"/>
    <x v="3"/>
    <x v="1"/>
    <x v="2"/>
    <s v="Ana Silva"/>
    <n v="11"/>
    <x v="1"/>
    <n v="3"/>
    <m/>
  </r>
  <r>
    <s v="AT065"/>
    <x v="0"/>
    <x v="1"/>
    <x v="4"/>
    <x v="2"/>
    <s v="Bruno Costa"/>
    <n v="2"/>
    <x v="1"/>
    <n v="5"/>
    <m/>
  </r>
  <r>
    <s v="AT066"/>
    <x v="0"/>
    <x v="2"/>
    <x v="5"/>
    <x v="0"/>
    <s v="Eva Santos"/>
    <n v="12"/>
    <x v="0"/>
    <n v="1"/>
    <m/>
  </r>
  <r>
    <s v="AT067"/>
    <x v="1"/>
    <x v="2"/>
    <x v="5"/>
    <x v="0"/>
    <s v="David Ferreira"/>
    <n v="11"/>
    <x v="0"/>
    <n v="3"/>
    <m/>
  </r>
  <r>
    <s v="AT068"/>
    <x v="0"/>
    <x v="0"/>
    <x v="1"/>
    <x v="0"/>
    <s v="David Ferreira"/>
    <n v="10"/>
    <x v="0"/>
    <n v="4"/>
    <m/>
  </r>
  <r>
    <s v="AT069"/>
    <x v="0"/>
    <x v="2"/>
    <x v="2"/>
    <x v="0"/>
    <s v="Bruno Costa"/>
    <n v="1"/>
    <x v="1"/>
    <n v="3"/>
    <m/>
  </r>
  <r>
    <s v="AT070"/>
    <x v="2"/>
    <x v="1"/>
    <x v="5"/>
    <x v="2"/>
    <s v="David Ferreira"/>
    <n v="14"/>
    <x v="1"/>
    <n v="4"/>
    <m/>
  </r>
  <r>
    <s v="AT071"/>
    <x v="2"/>
    <x v="3"/>
    <x v="6"/>
    <x v="1"/>
    <s v="David Ferreira"/>
    <n v="16"/>
    <x v="2"/>
    <m/>
    <m/>
  </r>
  <r>
    <s v="AT072"/>
    <x v="0"/>
    <x v="2"/>
    <x v="1"/>
    <x v="0"/>
    <s v="Bruno Costa"/>
    <n v="10"/>
    <x v="0"/>
    <n v="5"/>
    <m/>
  </r>
  <r>
    <s v="AT073"/>
    <x v="2"/>
    <x v="0"/>
    <x v="4"/>
    <x v="2"/>
    <s v="Bruno Costa"/>
    <n v="3"/>
    <x v="0"/>
    <n v="3"/>
    <m/>
  </r>
  <r>
    <s v="AT074"/>
    <x v="1"/>
    <x v="3"/>
    <x v="2"/>
    <x v="0"/>
    <s v="Ana Silva"/>
    <n v="1"/>
    <x v="0"/>
    <n v="4"/>
    <m/>
  </r>
  <r>
    <s v="AT075"/>
    <x v="2"/>
    <x v="2"/>
    <x v="1"/>
    <x v="2"/>
    <s v="Eva Santos"/>
    <n v="5"/>
    <x v="0"/>
    <n v="3"/>
    <m/>
  </r>
  <r>
    <s v="AT076"/>
    <x v="2"/>
    <x v="2"/>
    <x v="0"/>
    <x v="0"/>
    <s v="Ana Silva"/>
    <n v="11"/>
    <x v="2"/>
    <m/>
    <m/>
  </r>
  <r>
    <s v="AT077"/>
    <x v="1"/>
    <x v="3"/>
    <x v="4"/>
    <x v="0"/>
    <s v="David Ferreira"/>
    <n v="8"/>
    <x v="0"/>
    <n v="4"/>
    <m/>
  </r>
  <r>
    <s v="AT078"/>
    <x v="2"/>
    <x v="1"/>
    <x v="2"/>
    <x v="0"/>
    <s v="David Ferreira"/>
    <n v="1"/>
    <x v="0"/>
    <n v="4"/>
    <m/>
  </r>
  <r>
    <s v="AT079"/>
    <x v="2"/>
    <x v="0"/>
    <x v="0"/>
    <x v="0"/>
    <s v="Ana Silva"/>
    <n v="19"/>
    <x v="0"/>
    <n v="4"/>
    <m/>
  </r>
  <r>
    <s v="AT080"/>
    <x v="0"/>
    <x v="0"/>
    <x v="0"/>
    <x v="2"/>
    <s v="Carla Mendes"/>
    <n v="7"/>
    <x v="0"/>
    <n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2ACD3-AA95-41B2-BDD0-56B4323518A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1" firstDataRow="2" firstDataCol="1"/>
  <pivotFields count="9">
    <pivotField dataField="1" showAll="0"/>
    <pivotField showAll="0"/>
    <pivotField showAll="0"/>
    <pivotField axis="axisRow" showAll="0">
      <items count="8">
        <item x="1"/>
        <item x="2"/>
        <item x="4"/>
        <item x="5"/>
        <item x="6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ntagem de ID_Pedid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86397-7091-4EDE-8C63-D814576D82A6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9">
    <pivotField dataField="1" showAll="0"/>
    <pivotField axis="axisCol" showAll="0">
      <items count="4">
        <item x="0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Contagem de ID_Pedid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6C34A-4644-4A67-B6FD-7D29142506BC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1" firstDataRow="2" firstDataCol="1"/>
  <pivotFields count="10">
    <pivotField dataField="1" showAll="0"/>
    <pivotField showAll="0"/>
    <pivotField showAll="0"/>
    <pivotField axis="axisRow" showAll="0" sortType="ascending">
      <items count="8">
        <item x="1"/>
        <item x="2"/>
        <item x="4"/>
        <item x="5"/>
        <item x="6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8">
    <i>
      <x v="5"/>
    </i>
    <i>
      <x v="3"/>
    </i>
    <i>
      <x v="4"/>
    </i>
    <i>
      <x/>
    </i>
    <i>
      <x v="1"/>
    </i>
    <i>
      <x v="2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ntagem de ID_Pedid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BDA26-B37A-43AF-8A44-1966F18ACC65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E9" firstHeaderRow="1" firstDataRow="2" firstDataCol="1" rowPageCount="1" colPageCount="1"/>
  <pivotFields count="10">
    <pivotField dataField="1" showAll="0"/>
    <pivotField axis="axisCol" showAll="0">
      <items count="4">
        <item x="0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Contagem de ID_Pedido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C48C2-4B13-4D4A-9A6F-E09F9F20160A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0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Média de Tempo_Resposta_Dias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D341C-B36E-4866-95CC-BEA902B5AAD1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1" firstDataRow="2" firstDataCol="1" rowPageCount="1" colPageCount="1"/>
  <pivotFields count="10">
    <pivotField showAll="0"/>
    <pivotField showAll="0"/>
    <pivotField showAll="0"/>
    <pivotField axis="axisRow" showAll="0">
      <items count="8">
        <item x="1"/>
        <item x="2"/>
        <item x="4"/>
        <item x="5"/>
        <item x="6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Média de Satisfação_Cidadão" fld="8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3886-CBAB-437B-83D9-5E527A4F5E1D}">
  <dimension ref="A3:E12"/>
  <sheetViews>
    <sheetView workbookViewId="0">
      <selection activeCell="A3" sqref="A3"/>
    </sheetView>
  </sheetViews>
  <sheetFormatPr defaultRowHeight="14.4" x14ac:dyDescent="0.3"/>
  <cols>
    <col min="1" max="1" width="21.6640625" bestFit="1" customWidth="1"/>
    <col min="2" max="2" width="18.5546875" bestFit="1" customWidth="1"/>
    <col min="3" max="3" width="9.44140625" bestFit="1" customWidth="1"/>
    <col min="4" max="4" width="8.33203125" bestFit="1" customWidth="1"/>
    <col min="5" max="5" width="10" bestFit="1" customWidth="1"/>
  </cols>
  <sheetData>
    <row r="3" spans="1:5" x14ac:dyDescent="0.3">
      <c r="A3" s="30" t="s">
        <v>147</v>
      </c>
      <c r="B3" s="30" t="s">
        <v>163</v>
      </c>
    </row>
    <row r="4" spans="1:5" x14ac:dyDescent="0.3">
      <c r="A4" s="30" t="s">
        <v>161</v>
      </c>
      <c r="B4" t="s">
        <v>25</v>
      </c>
      <c r="C4" t="s">
        <v>13</v>
      </c>
      <c r="D4" t="s">
        <v>20</v>
      </c>
      <c r="E4" t="s">
        <v>162</v>
      </c>
    </row>
    <row r="5" spans="1:5" x14ac:dyDescent="0.3">
      <c r="A5" s="31" t="s">
        <v>17</v>
      </c>
      <c r="B5">
        <v>3</v>
      </c>
      <c r="C5">
        <v>6</v>
      </c>
      <c r="D5">
        <v>2</v>
      </c>
      <c r="E5">
        <v>11</v>
      </c>
    </row>
    <row r="6" spans="1:5" x14ac:dyDescent="0.3">
      <c r="A6" s="31" t="s">
        <v>19</v>
      </c>
      <c r="B6">
        <v>4</v>
      </c>
      <c r="C6">
        <v>6</v>
      </c>
      <c r="D6">
        <v>2</v>
      </c>
      <c r="E6">
        <v>12</v>
      </c>
    </row>
    <row r="7" spans="1:5" x14ac:dyDescent="0.3">
      <c r="A7" s="31" t="s">
        <v>38</v>
      </c>
      <c r="B7">
        <v>4</v>
      </c>
      <c r="C7">
        <v>8</v>
      </c>
      <c r="D7">
        <v>1</v>
      </c>
      <c r="E7">
        <v>13</v>
      </c>
    </row>
    <row r="8" spans="1:5" x14ac:dyDescent="0.3">
      <c r="A8" s="31" t="s">
        <v>41</v>
      </c>
      <c r="B8">
        <v>4</v>
      </c>
      <c r="C8">
        <v>6</v>
      </c>
      <c r="D8">
        <v>1</v>
      </c>
      <c r="E8">
        <v>11</v>
      </c>
    </row>
    <row r="9" spans="1:5" x14ac:dyDescent="0.3">
      <c r="A9" s="31" t="s">
        <v>49</v>
      </c>
      <c r="B9">
        <v>3</v>
      </c>
      <c r="C9">
        <v>6</v>
      </c>
      <c r="D9">
        <v>2</v>
      </c>
      <c r="E9">
        <v>11</v>
      </c>
    </row>
    <row r="10" spans="1:5" x14ac:dyDescent="0.3">
      <c r="A10" s="31" t="s">
        <v>29</v>
      </c>
      <c r="B10">
        <v>3</v>
      </c>
      <c r="C10">
        <v>3</v>
      </c>
      <c r="D10">
        <v>1</v>
      </c>
      <c r="E10">
        <v>7</v>
      </c>
    </row>
    <row r="11" spans="1:5" x14ac:dyDescent="0.3">
      <c r="A11" s="31" t="s">
        <v>12</v>
      </c>
      <c r="B11">
        <v>6</v>
      </c>
      <c r="C11">
        <v>6</v>
      </c>
      <c r="D11">
        <v>3</v>
      </c>
      <c r="E11">
        <v>15</v>
      </c>
    </row>
    <row r="12" spans="1:5" x14ac:dyDescent="0.3">
      <c r="A12" s="31" t="s">
        <v>162</v>
      </c>
      <c r="B12">
        <v>27</v>
      </c>
      <c r="C12">
        <v>41</v>
      </c>
      <c r="D12">
        <v>12</v>
      </c>
      <c r="E12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CFDC-1188-46BF-8713-7E40695D346A}">
  <dimension ref="A1:E9"/>
  <sheetViews>
    <sheetView workbookViewId="0">
      <selection activeCell="A3" sqref="A3"/>
    </sheetView>
  </sheetViews>
  <sheetFormatPr defaultRowHeight="14.4" x14ac:dyDescent="0.3"/>
  <cols>
    <col min="1" max="1" width="21.6640625" bestFit="1" customWidth="1"/>
    <col min="2" max="2" width="18.5546875" bestFit="1" customWidth="1"/>
    <col min="3" max="3" width="8.77734375" bestFit="1" customWidth="1"/>
    <col min="4" max="4" width="6.44140625" bestFit="1" customWidth="1"/>
    <col min="5" max="5" width="10" bestFit="1" customWidth="1"/>
  </cols>
  <sheetData>
    <row r="1" spans="1:5" x14ac:dyDescent="0.3">
      <c r="A1" s="30" t="s">
        <v>7</v>
      </c>
      <c r="B1" t="s">
        <v>164</v>
      </c>
    </row>
    <row r="3" spans="1:5" x14ac:dyDescent="0.3">
      <c r="A3" s="30" t="s">
        <v>147</v>
      </c>
      <c r="B3" s="30" t="s">
        <v>163</v>
      </c>
    </row>
    <row r="4" spans="1:5" x14ac:dyDescent="0.3">
      <c r="A4" s="30" t="s">
        <v>161</v>
      </c>
      <c r="B4" t="s">
        <v>10</v>
      </c>
      <c r="C4" t="s">
        <v>37</v>
      </c>
      <c r="D4" t="s">
        <v>31</v>
      </c>
      <c r="E4" t="s">
        <v>162</v>
      </c>
    </row>
    <row r="5" spans="1:5" x14ac:dyDescent="0.3">
      <c r="A5" s="31" t="s">
        <v>11</v>
      </c>
      <c r="B5">
        <v>15</v>
      </c>
      <c r="C5">
        <v>7</v>
      </c>
      <c r="D5">
        <v>2</v>
      </c>
      <c r="E5">
        <v>24</v>
      </c>
    </row>
    <row r="6" spans="1:5" x14ac:dyDescent="0.3">
      <c r="A6" s="31" t="s">
        <v>28</v>
      </c>
      <c r="B6">
        <v>12</v>
      </c>
      <c r="C6">
        <v>6</v>
      </c>
      <c r="D6">
        <v>2</v>
      </c>
      <c r="E6">
        <v>20</v>
      </c>
    </row>
    <row r="7" spans="1:5" x14ac:dyDescent="0.3">
      <c r="A7" s="31" t="s">
        <v>33</v>
      </c>
      <c r="B7">
        <v>10</v>
      </c>
      <c r="C7">
        <v>5</v>
      </c>
      <c r="D7">
        <v>4</v>
      </c>
      <c r="E7">
        <v>19</v>
      </c>
    </row>
    <row r="8" spans="1:5" x14ac:dyDescent="0.3">
      <c r="A8" s="31" t="s">
        <v>24</v>
      </c>
      <c r="B8">
        <v>11</v>
      </c>
      <c r="C8">
        <v>3</v>
      </c>
      <c r="D8">
        <v>3</v>
      </c>
      <c r="E8">
        <v>17</v>
      </c>
    </row>
    <row r="9" spans="1:5" x14ac:dyDescent="0.3">
      <c r="A9" s="31" t="s">
        <v>162</v>
      </c>
      <c r="B9">
        <v>48</v>
      </c>
      <c r="C9">
        <v>21</v>
      </c>
      <c r="D9">
        <v>11</v>
      </c>
      <c r="E9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1EE0-BDAD-4A7B-98DF-ADC172E015FD}">
  <dimension ref="A3:E12"/>
  <sheetViews>
    <sheetView workbookViewId="0">
      <selection activeCell="C12" sqref="C12"/>
    </sheetView>
  </sheetViews>
  <sheetFormatPr defaultRowHeight="14.4" x14ac:dyDescent="0.3"/>
  <cols>
    <col min="1" max="1" width="21.6640625" bestFit="1" customWidth="1"/>
    <col min="2" max="2" width="18.5546875" bestFit="1" customWidth="1"/>
    <col min="3" max="3" width="9.44140625" bestFit="1" customWidth="1"/>
    <col min="4" max="4" width="8.33203125" bestFit="1" customWidth="1"/>
    <col min="5" max="5" width="10" bestFit="1" customWidth="1"/>
  </cols>
  <sheetData>
    <row r="3" spans="1:5" x14ac:dyDescent="0.3">
      <c r="A3" s="30" t="s">
        <v>147</v>
      </c>
      <c r="B3" s="30" t="s">
        <v>163</v>
      </c>
    </row>
    <row r="4" spans="1:5" x14ac:dyDescent="0.3">
      <c r="A4" s="30" t="s">
        <v>161</v>
      </c>
      <c r="B4" t="s">
        <v>25</v>
      </c>
      <c r="C4" t="s">
        <v>13</v>
      </c>
      <c r="D4" t="s">
        <v>20</v>
      </c>
      <c r="E4" t="s">
        <v>162</v>
      </c>
    </row>
    <row r="5" spans="1:5" x14ac:dyDescent="0.3">
      <c r="A5" s="31" t="s">
        <v>29</v>
      </c>
      <c r="B5" s="34">
        <v>3</v>
      </c>
      <c r="C5" s="34">
        <v>3</v>
      </c>
      <c r="D5" s="34">
        <v>1</v>
      </c>
      <c r="E5" s="34">
        <v>7</v>
      </c>
    </row>
    <row r="6" spans="1:5" x14ac:dyDescent="0.3">
      <c r="A6" s="31" t="s">
        <v>41</v>
      </c>
      <c r="B6" s="34">
        <v>4</v>
      </c>
      <c r="C6" s="34">
        <v>6</v>
      </c>
      <c r="D6" s="34">
        <v>1</v>
      </c>
      <c r="E6" s="34">
        <v>11</v>
      </c>
    </row>
    <row r="7" spans="1:5" x14ac:dyDescent="0.3">
      <c r="A7" s="31" t="s">
        <v>49</v>
      </c>
      <c r="B7" s="34">
        <v>3</v>
      </c>
      <c r="C7" s="34">
        <v>6</v>
      </c>
      <c r="D7" s="34">
        <v>2</v>
      </c>
      <c r="E7" s="34">
        <v>11</v>
      </c>
    </row>
    <row r="8" spans="1:5" x14ac:dyDescent="0.3">
      <c r="A8" s="31" t="s">
        <v>17</v>
      </c>
      <c r="B8" s="34">
        <v>3</v>
      </c>
      <c r="C8" s="34">
        <v>6</v>
      </c>
      <c r="D8" s="34">
        <v>2</v>
      </c>
      <c r="E8" s="34">
        <v>11</v>
      </c>
    </row>
    <row r="9" spans="1:5" x14ac:dyDescent="0.3">
      <c r="A9" s="31" t="s">
        <v>19</v>
      </c>
      <c r="B9" s="34">
        <v>4</v>
      </c>
      <c r="C9" s="34">
        <v>6</v>
      </c>
      <c r="D9" s="34">
        <v>2</v>
      </c>
      <c r="E9" s="34">
        <v>12</v>
      </c>
    </row>
    <row r="10" spans="1:5" x14ac:dyDescent="0.3">
      <c r="A10" s="31" t="s">
        <v>38</v>
      </c>
      <c r="B10" s="34">
        <v>4</v>
      </c>
      <c r="C10" s="34">
        <v>8</v>
      </c>
      <c r="D10" s="34">
        <v>1</v>
      </c>
      <c r="E10" s="34">
        <v>13</v>
      </c>
    </row>
    <row r="11" spans="1:5" x14ac:dyDescent="0.3">
      <c r="A11" s="31" t="s">
        <v>12</v>
      </c>
      <c r="B11" s="34">
        <v>6</v>
      </c>
      <c r="C11" s="34">
        <v>6</v>
      </c>
      <c r="D11" s="34">
        <v>3</v>
      </c>
      <c r="E11" s="34">
        <v>15</v>
      </c>
    </row>
    <row r="12" spans="1:5" x14ac:dyDescent="0.3">
      <c r="A12" s="31" t="s">
        <v>162</v>
      </c>
      <c r="B12" s="34">
        <v>27</v>
      </c>
      <c r="C12" s="34">
        <v>41</v>
      </c>
      <c r="D12" s="34">
        <v>12</v>
      </c>
      <c r="E12" s="3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D583-AB6D-4D80-9428-90BACF63E772}">
  <dimension ref="A1:E9"/>
  <sheetViews>
    <sheetView workbookViewId="0">
      <selection activeCell="D6" sqref="D6"/>
    </sheetView>
  </sheetViews>
  <sheetFormatPr defaultRowHeight="14.4" x14ac:dyDescent="0.3"/>
  <cols>
    <col min="1" max="1" width="21.6640625" bestFit="1" customWidth="1"/>
    <col min="2" max="2" width="18.5546875" bestFit="1" customWidth="1"/>
    <col min="3" max="3" width="8.77734375" bestFit="1" customWidth="1"/>
    <col min="4" max="4" width="6.44140625" bestFit="1" customWidth="1"/>
    <col min="5" max="5" width="10" bestFit="1" customWidth="1"/>
  </cols>
  <sheetData>
    <row r="1" spans="1:5" x14ac:dyDescent="0.3">
      <c r="A1" s="30" t="s">
        <v>7</v>
      </c>
      <c r="B1" t="s">
        <v>164</v>
      </c>
    </row>
    <row r="3" spans="1:5" x14ac:dyDescent="0.3">
      <c r="A3" s="30" t="s">
        <v>147</v>
      </c>
      <c r="B3" s="30" t="s">
        <v>163</v>
      </c>
    </row>
    <row r="4" spans="1:5" x14ac:dyDescent="0.3">
      <c r="A4" s="30" t="s">
        <v>161</v>
      </c>
      <c r="B4" t="s">
        <v>10</v>
      </c>
      <c r="C4" t="s">
        <v>37</v>
      </c>
      <c r="D4" t="s">
        <v>31</v>
      </c>
      <c r="E4" t="s">
        <v>162</v>
      </c>
    </row>
    <row r="5" spans="1:5" x14ac:dyDescent="0.3">
      <c r="A5" s="31" t="s">
        <v>11</v>
      </c>
      <c r="B5" s="34">
        <v>15</v>
      </c>
      <c r="C5" s="34">
        <v>7</v>
      </c>
      <c r="D5" s="34">
        <v>2</v>
      </c>
      <c r="E5" s="34">
        <v>24</v>
      </c>
    </row>
    <row r="6" spans="1:5" x14ac:dyDescent="0.3">
      <c r="A6" s="31" t="s">
        <v>28</v>
      </c>
      <c r="B6" s="34">
        <v>12</v>
      </c>
      <c r="C6" s="34">
        <v>6</v>
      </c>
      <c r="D6" s="34">
        <v>2</v>
      </c>
      <c r="E6" s="34">
        <v>20</v>
      </c>
    </row>
    <row r="7" spans="1:5" x14ac:dyDescent="0.3">
      <c r="A7" s="31" t="s">
        <v>33</v>
      </c>
      <c r="B7" s="34">
        <v>10</v>
      </c>
      <c r="C7" s="34">
        <v>5</v>
      </c>
      <c r="D7" s="34">
        <v>4</v>
      </c>
      <c r="E7" s="34">
        <v>19</v>
      </c>
    </row>
    <row r="8" spans="1:5" x14ac:dyDescent="0.3">
      <c r="A8" s="31" t="s">
        <v>24</v>
      </c>
      <c r="B8" s="34">
        <v>11</v>
      </c>
      <c r="C8" s="34">
        <v>3</v>
      </c>
      <c r="D8" s="34">
        <v>3</v>
      </c>
      <c r="E8" s="34">
        <v>17</v>
      </c>
    </row>
    <row r="9" spans="1:5" x14ac:dyDescent="0.3">
      <c r="A9" s="31" t="s">
        <v>162</v>
      </c>
      <c r="B9" s="34">
        <v>48</v>
      </c>
      <c r="C9" s="34">
        <v>21</v>
      </c>
      <c r="D9" s="34">
        <v>11</v>
      </c>
      <c r="E9" s="34">
        <v>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7856-339C-481A-8717-08D211D1E35C}">
  <dimension ref="A1:B8"/>
  <sheetViews>
    <sheetView workbookViewId="0">
      <selection activeCell="B4" sqref="B4"/>
    </sheetView>
  </sheetViews>
  <sheetFormatPr defaultRowHeight="14.4" x14ac:dyDescent="0.3"/>
  <cols>
    <col min="1" max="1" width="17.33203125" bestFit="1" customWidth="1"/>
    <col min="2" max="2" width="28.6640625" bestFit="1" customWidth="1"/>
  </cols>
  <sheetData>
    <row r="1" spans="1:2" x14ac:dyDescent="0.3">
      <c r="A1" s="30" t="s">
        <v>7</v>
      </c>
      <c r="B1" t="s">
        <v>164</v>
      </c>
    </row>
    <row r="3" spans="1:2" x14ac:dyDescent="0.3">
      <c r="A3" s="30" t="s">
        <v>161</v>
      </c>
      <c r="B3" t="s">
        <v>166</v>
      </c>
    </row>
    <row r="4" spans="1:2" x14ac:dyDescent="0.3">
      <c r="A4" s="31" t="s">
        <v>11</v>
      </c>
      <c r="B4" s="34">
        <v>11.25</v>
      </c>
    </row>
    <row r="5" spans="1:2" x14ac:dyDescent="0.3">
      <c r="A5" s="31" t="s">
        <v>28</v>
      </c>
      <c r="B5" s="34">
        <v>8.4</v>
      </c>
    </row>
    <row r="6" spans="1:2" x14ac:dyDescent="0.3">
      <c r="A6" s="31" t="s">
        <v>33</v>
      </c>
      <c r="B6" s="34">
        <v>11.526315789473685</v>
      </c>
    </row>
    <row r="7" spans="1:2" x14ac:dyDescent="0.3">
      <c r="A7" s="31" t="s">
        <v>24</v>
      </c>
      <c r="B7" s="34">
        <v>9.5294117647058822</v>
      </c>
    </row>
    <row r="8" spans="1:2" x14ac:dyDescent="0.3">
      <c r="A8" s="31" t="s">
        <v>162</v>
      </c>
      <c r="B8" s="34">
        <v>10.237500000000001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FDB2-7695-49BA-9E79-136CE299AAFC}">
  <dimension ref="A1:E12"/>
  <sheetViews>
    <sheetView workbookViewId="0">
      <selection activeCell="E13" sqref="E13"/>
    </sheetView>
  </sheetViews>
  <sheetFormatPr defaultRowHeight="14.4" x14ac:dyDescent="0.3"/>
  <cols>
    <col min="1" max="1" width="26.21875" bestFit="1" customWidth="1"/>
    <col min="2" max="2" width="18.5546875" bestFit="1" customWidth="1"/>
    <col min="3" max="5" width="12" bestFit="1" customWidth="1"/>
  </cols>
  <sheetData>
    <row r="1" spans="1:5" x14ac:dyDescent="0.3">
      <c r="A1" s="30" t="s">
        <v>7</v>
      </c>
      <c r="B1" t="s">
        <v>15</v>
      </c>
    </row>
    <row r="3" spans="1:5" x14ac:dyDescent="0.3">
      <c r="A3" s="30" t="s">
        <v>167</v>
      </c>
      <c r="B3" s="30" t="s">
        <v>163</v>
      </c>
    </row>
    <row r="4" spans="1:5" x14ac:dyDescent="0.3">
      <c r="A4" s="30" t="s">
        <v>161</v>
      </c>
      <c r="B4" t="s">
        <v>25</v>
      </c>
      <c r="C4" t="s">
        <v>13</v>
      </c>
      <c r="D4" t="s">
        <v>20</v>
      </c>
      <c r="E4" t="s">
        <v>162</v>
      </c>
    </row>
    <row r="5" spans="1:5" x14ac:dyDescent="0.3">
      <c r="A5" s="31" t="s">
        <v>17</v>
      </c>
      <c r="B5" s="34">
        <v>3.5</v>
      </c>
      <c r="C5" s="34">
        <v>3.6666666666666665</v>
      </c>
      <c r="D5" s="34">
        <v>5</v>
      </c>
      <c r="E5" s="34">
        <v>3.7777777777777777</v>
      </c>
    </row>
    <row r="6" spans="1:5" x14ac:dyDescent="0.3">
      <c r="A6" s="31" t="s">
        <v>19</v>
      </c>
      <c r="B6" s="34">
        <v>4.5</v>
      </c>
      <c r="C6" s="34">
        <v>3.75</v>
      </c>
      <c r="D6" s="34">
        <v>3</v>
      </c>
      <c r="E6" s="34">
        <v>3.8571428571428572</v>
      </c>
    </row>
    <row r="7" spans="1:5" x14ac:dyDescent="0.3">
      <c r="A7" s="31" t="s">
        <v>38</v>
      </c>
      <c r="B7" s="34">
        <v>3</v>
      </c>
      <c r="C7" s="34">
        <v>4</v>
      </c>
      <c r="D7" s="34">
        <v>5</v>
      </c>
      <c r="E7" s="34">
        <v>3.7777777777777777</v>
      </c>
    </row>
    <row r="8" spans="1:5" x14ac:dyDescent="0.3">
      <c r="A8" s="31" t="s">
        <v>41</v>
      </c>
      <c r="B8" s="34">
        <v>3</v>
      </c>
      <c r="C8" s="34">
        <v>3.5</v>
      </c>
      <c r="D8" s="34"/>
      <c r="E8" s="34">
        <v>3.4285714285714284</v>
      </c>
    </row>
    <row r="9" spans="1:5" x14ac:dyDescent="0.3">
      <c r="A9" s="31" t="s">
        <v>49</v>
      </c>
      <c r="B9" s="34">
        <v>4.5</v>
      </c>
      <c r="C9" s="34">
        <v>2.8</v>
      </c>
      <c r="D9" s="34">
        <v>4</v>
      </c>
      <c r="E9" s="34">
        <v>3.375</v>
      </c>
    </row>
    <row r="10" spans="1:5" x14ac:dyDescent="0.3">
      <c r="A10" s="31" t="s">
        <v>29</v>
      </c>
      <c r="B10" s="34">
        <v>3.6666666666666665</v>
      </c>
      <c r="C10" s="34">
        <v>4</v>
      </c>
      <c r="D10" s="34"/>
      <c r="E10" s="34">
        <v>3.75</v>
      </c>
    </row>
    <row r="11" spans="1:5" x14ac:dyDescent="0.3">
      <c r="A11" s="31" t="s">
        <v>12</v>
      </c>
      <c r="B11" s="34">
        <v>3.25</v>
      </c>
      <c r="C11" s="34">
        <v>3.5</v>
      </c>
      <c r="D11" s="34">
        <v>4</v>
      </c>
      <c r="E11" s="34">
        <v>3.5454545454545454</v>
      </c>
    </row>
    <row r="12" spans="1:5" x14ac:dyDescent="0.3">
      <c r="A12" s="31" t="s">
        <v>162</v>
      </c>
      <c r="B12" s="34">
        <v>3.5882352941176472</v>
      </c>
      <c r="C12" s="34">
        <v>3.5483870967741935</v>
      </c>
      <c r="D12" s="34">
        <v>4.1428571428571432</v>
      </c>
      <c r="E12" s="34">
        <v>3.6363636363636362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zoomScaleNormal="100" workbookViewId="0">
      <pane ySplit="1" topLeftCell="A54" activePane="bottomLeft" state="frozen"/>
      <selection pane="bottomLeft" activeCell="C61" sqref="C61"/>
    </sheetView>
  </sheetViews>
  <sheetFormatPr defaultColWidth="8.6640625" defaultRowHeight="14.4" x14ac:dyDescent="0.3"/>
  <cols>
    <col min="1" max="2" width="10" customWidth="1"/>
    <col min="3" max="3" width="20" customWidth="1"/>
    <col min="4" max="4" width="24" customWidth="1"/>
    <col min="5" max="5" width="12" customWidth="1"/>
    <col min="6" max="6" width="16" customWidth="1"/>
    <col min="7" max="7" width="20" customWidth="1"/>
    <col min="8" max="8" width="14" customWidth="1"/>
    <col min="9" max="9" width="20" customWidth="1"/>
  </cols>
  <sheetData>
    <row r="1" spans="1:10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2" t="s">
        <v>165</v>
      </c>
    </row>
    <row r="2" spans="1:10" ht="15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>
        <v>11</v>
      </c>
      <c r="H2" s="3" t="s">
        <v>15</v>
      </c>
      <c r="I2" s="2">
        <v>2</v>
      </c>
    </row>
    <row r="3" spans="1:10" ht="15" customHeight="1" x14ac:dyDescent="0.3">
      <c r="A3" s="4" t="s">
        <v>16</v>
      </c>
      <c r="B3" s="5" t="s">
        <v>10</v>
      </c>
      <c r="C3" s="5" t="s">
        <v>11</v>
      </c>
      <c r="D3" s="5" t="s">
        <v>17</v>
      </c>
      <c r="E3" s="5" t="s">
        <v>13</v>
      </c>
      <c r="F3" s="5" t="s">
        <v>14</v>
      </c>
      <c r="G3" s="4">
        <v>5</v>
      </c>
      <c r="H3" s="5" t="s">
        <v>15</v>
      </c>
      <c r="I3" s="4">
        <v>2</v>
      </c>
    </row>
    <row r="4" spans="1:10" ht="15" customHeight="1" x14ac:dyDescent="0.3">
      <c r="A4" s="2" t="s">
        <v>18</v>
      </c>
      <c r="B4" s="3" t="s">
        <v>10</v>
      </c>
      <c r="C4" s="3" t="s">
        <v>11</v>
      </c>
      <c r="D4" s="3" t="s">
        <v>19</v>
      </c>
      <c r="E4" s="3" t="s">
        <v>20</v>
      </c>
      <c r="F4" s="3" t="s">
        <v>21</v>
      </c>
      <c r="G4" s="2">
        <v>1</v>
      </c>
      <c r="H4" s="3" t="s">
        <v>22</v>
      </c>
      <c r="I4" s="2">
        <v>4</v>
      </c>
    </row>
    <row r="5" spans="1:10" ht="15" customHeight="1" x14ac:dyDescent="0.3">
      <c r="A5" s="4" t="s">
        <v>23</v>
      </c>
      <c r="B5" s="5" t="s">
        <v>10</v>
      </c>
      <c r="C5" s="5" t="s">
        <v>24</v>
      </c>
      <c r="D5" s="5" t="s">
        <v>12</v>
      </c>
      <c r="E5" s="5" t="s">
        <v>25</v>
      </c>
      <c r="F5" s="5" t="s">
        <v>26</v>
      </c>
      <c r="G5" s="4">
        <v>9</v>
      </c>
      <c r="H5" s="5" t="s">
        <v>15</v>
      </c>
      <c r="I5" s="4">
        <v>3</v>
      </c>
    </row>
    <row r="6" spans="1:10" ht="15" customHeight="1" x14ac:dyDescent="0.3">
      <c r="A6" s="2" t="s">
        <v>27</v>
      </c>
      <c r="B6" s="3" t="s">
        <v>10</v>
      </c>
      <c r="C6" s="3" t="s">
        <v>28</v>
      </c>
      <c r="D6" s="3" t="s">
        <v>29</v>
      </c>
      <c r="E6" s="3" t="s">
        <v>25</v>
      </c>
      <c r="F6" s="3" t="s">
        <v>14</v>
      </c>
      <c r="G6" s="2">
        <v>16</v>
      </c>
      <c r="H6" s="3" t="s">
        <v>15</v>
      </c>
      <c r="I6" s="2">
        <v>3</v>
      </c>
    </row>
    <row r="7" spans="1:10" ht="15" customHeight="1" x14ac:dyDescent="0.3">
      <c r="A7" s="4" t="s">
        <v>30</v>
      </c>
      <c r="B7" s="5" t="s">
        <v>31</v>
      </c>
      <c r="C7" s="5" t="s">
        <v>24</v>
      </c>
      <c r="D7" s="5" t="s">
        <v>29</v>
      </c>
      <c r="E7" s="5" t="s">
        <v>25</v>
      </c>
      <c r="F7" s="5" t="s">
        <v>14</v>
      </c>
      <c r="G7" s="4">
        <v>20</v>
      </c>
      <c r="H7" s="5" t="s">
        <v>15</v>
      </c>
      <c r="I7" s="4">
        <v>4</v>
      </c>
    </row>
    <row r="8" spans="1:10" ht="15" customHeight="1" x14ac:dyDescent="0.3">
      <c r="A8" s="2" t="s">
        <v>32</v>
      </c>
      <c r="B8" s="3" t="s">
        <v>10</v>
      </c>
      <c r="C8" s="3" t="s">
        <v>33</v>
      </c>
      <c r="D8" s="3" t="s">
        <v>19</v>
      </c>
      <c r="E8" s="3" t="s">
        <v>20</v>
      </c>
      <c r="F8" s="3" t="s">
        <v>26</v>
      </c>
      <c r="G8" s="2">
        <v>4</v>
      </c>
      <c r="H8" s="3" t="s">
        <v>15</v>
      </c>
      <c r="I8" s="2">
        <v>3</v>
      </c>
    </row>
    <row r="9" spans="1:10" ht="15" customHeight="1" x14ac:dyDescent="0.3">
      <c r="A9" s="4" t="s">
        <v>34</v>
      </c>
      <c r="B9" s="5" t="s">
        <v>10</v>
      </c>
      <c r="C9" s="5" t="s">
        <v>33</v>
      </c>
      <c r="D9" s="5" t="s">
        <v>17</v>
      </c>
      <c r="E9" s="5" t="s">
        <v>13</v>
      </c>
      <c r="F9" s="5" t="s">
        <v>35</v>
      </c>
      <c r="G9" s="4">
        <v>8</v>
      </c>
      <c r="H9" s="5" t="s">
        <v>15</v>
      </c>
      <c r="I9" s="4">
        <v>4</v>
      </c>
    </row>
    <row r="10" spans="1:10" ht="15" customHeight="1" x14ac:dyDescent="0.3">
      <c r="A10" s="2" t="s">
        <v>36</v>
      </c>
      <c r="B10" s="3" t="s">
        <v>37</v>
      </c>
      <c r="C10" s="3" t="s">
        <v>33</v>
      </c>
      <c r="D10" s="3" t="s">
        <v>38</v>
      </c>
      <c r="E10" s="3" t="s">
        <v>13</v>
      </c>
      <c r="F10" s="3" t="s">
        <v>14</v>
      </c>
      <c r="G10" s="2">
        <v>3</v>
      </c>
      <c r="H10" s="3" t="s">
        <v>22</v>
      </c>
      <c r="I10" s="2">
        <v>4</v>
      </c>
    </row>
    <row r="11" spans="1:10" ht="15" customHeight="1" x14ac:dyDescent="0.3">
      <c r="A11" s="4" t="s">
        <v>39</v>
      </c>
      <c r="B11" s="5" t="s">
        <v>10</v>
      </c>
      <c r="C11" s="5" t="s">
        <v>33</v>
      </c>
      <c r="D11" s="5" t="s">
        <v>12</v>
      </c>
      <c r="E11" s="5" t="s">
        <v>13</v>
      </c>
      <c r="F11" s="5" t="s">
        <v>35</v>
      </c>
      <c r="G11" s="4">
        <v>19</v>
      </c>
      <c r="H11" s="5" t="s">
        <v>15</v>
      </c>
      <c r="I11" s="4">
        <v>4</v>
      </c>
    </row>
    <row r="12" spans="1:10" ht="15" customHeight="1" x14ac:dyDescent="0.3">
      <c r="A12" s="2" t="s">
        <v>40</v>
      </c>
      <c r="B12" s="3" t="s">
        <v>10</v>
      </c>
      <c r="C12" s="3" t="s">
        <v>33</v>
      </c>
      <c r="D12" s="3" t="s">
        <v>41</v>
      </c>
      <c r="E12" s="3" t="s">
        <v>13</v>
      </c>
      <c r="F12" s="3" t="s">
        <v>14</v>
      </c>
      <c r="G12" s="2">
        <v>17</v>
      </c>
      <c r="H12" s="3" t="s">
        <v>15</v>
      </c>
      <c r="I12" s="2">
        <v>4</v>
      </c>
    </row>
    <row r="13" spans="1:10" ht="15" customHeight="1" x14ac:dyDescent="0.3">
      <c r="A13" s="4" t="s">
        <v>42</v>
      </c>
      <c r="B13" s="5" t="s">
        <v>37</v>
      </c>
      <c r="C13" s="5" t="s">
        <v>28</v>
      </c>
      <c r="D13" s="5" t="s">
        <v>12</v>
      </c>
      <c r="E13" s="5" t="s">
        <v>13</v>
      </c>
      <c r="F13" s="5" t="s">
        <v>21</v>
      </c>
      <c r="G13" s="4">
        <v>7</v>
      </c>
      <c r="H13" s="5" t="s">
        <v>15</v>
      </c>
      <c r="I13" s="4">
        <v>4</v>
      </c>
    </row>
    <row r="14" spans="1:10" ht="15" customHeight="1" x14ac:dyDescent="0.3">
      <c r="A14" s="2" t="s">
        <v>43</v>
      </c>
      <c r="B14" s="3" t="s">
        <v>37</v>
      </c>
      <c r="C14" s="3" t="s">
        <v>28</v>
      </c>
      <c r="D14" s="3" t="s">
        <v>38</v>
      </c>
      <c r="E14" s="3" t="s">
        <v>13</v>
      </c>
      <c r="F14" s="3" t="s">
        <v>35</v>
      </c>
      <c r="G14" s="2">
        <v>3</v>
      </c>
      <c r="H14" s="3" t="s">
        <v>15</v>
      </c>
      <c r="I14" s="2">
        <v>4</v>
      </c>
    </row>
    <row r="15" spans="1:10" ht="15" customHeight="1" x14ac:dyDescent="0.3">
      <c r="A15" s="4" t="s">
        <v>44</v>
      </c>
      <c r="B15" s="5" t="s">
        <v>37</v>
      </c>
      <c r="C15" s="5" t="s">
        <v>11</v>
      </c>
      <c r="D15" s="5" t="s">
        <v>19</v>
      </c>
      <c r="E15" s="5" t="s">
        <v>13</v>
      </c>
      <c r="F15" s="5" t="s">
        <v>26</v>
      </c>
      <c r="G15" s="4">
        <v>1</v>
      </c>
      <c r="H15" s="5" t="s">
        <v>45</v>
      </c>
      <c r="I15" s="4"/>
    </row>
    <row r="16" spans="1:10" ht="15" customHeight="1" x14ac:dyDescent="0.3">
      <c r="A16" s="2" t="s">
        <v>46</v>
      </c>
      <c r="B16" s="3" t="s">
        <v>10</v>
      </c>
      <c r="C16" s="3" t="s">
        <v>28</v>
      </c>
      <c r="D16" s="3" t="s">
        <v>41</v>
      </c>
      <c r="E16" s="3" t="s">
        <v>13</v>
      </c>
      <c r="F16" s="3" t="s">
        <v>47</v>
      </c>
      <c r="G16" s="2">
        <v>11</v>
      </c>
      <c r="H16" s="3" t="s">
        <v>15</v>
      </c>
      <c r="I16" s="2">
        <v>4</v>
      </c>
    </row>
    <row r="17" spans="1:9" ht="15" customHeight="1" x14ac:dyDescent="0.3">
      <c r="A17" s="4" t="s">
        <v>48</v>
      </c>
      <c r="B17" s="5" t="s">
        <v>10</v>
      </c>
      <c r="C17" s="5" t="s">
        <v>11</v>
      </c>
      <c r="D17" s="5" t="s">
        <v>49</v>
      </c>
      <c r="E17" s="5" t="s">
        <v>25</v>
      </c>
      <c r="F17" s="5" t="s">
        <v>26</v>
      </c>
      <c r="G17" s="4">
        <v>18</v>
      </c>
      <c r="H17" s="5" t="s">
        <v>45</v>
      </c>
      <c r="I17" s="4"/>
    </row>
    <row r="18" spans="1:9" ht="15" customHeight="1" x14ac:dyDescent="0.3">
      <c r="A18" s="2" t="s">
        <v>50</v>
      </c>
      <c r="B18" s="3" t="s">
        <v>10</v>
      </c>
      <c r="C18" s="3" t="s">
        <v>28</v>
      </c>
      <c r="D18" s="3" t="s">
        <v>12</v>
      </c>
      <c r="E18" s="3" t="s">
        <v>25</v>
      </c>
      <c r="F18" s="3" t="s">
        <v>26</v>
      </c>
      <c r="G18" s="2">
        <v>12</v>
      </c>
      <c r="H18" s="3" t="s">
        <v>15</v>
      </c>
      <c r="I18" s="2">
        <v>3</v>
      </c>
    </row>
    <row r="19" spans="1:9" ht="15" customHeight="1" x14ac:dyDescent="0.3">
      <c r="A19" s="4" t="s">
        <v>51</v>
      </c>
      <c r="B19" s="5" t="s">
        <v>10</v>
      </c>
      <c r="C19" s="5" t="s">
        <v>11</v>
      </c>
      <c r="D19" s="5" t="s">
        <v>12</v>
      </c>
      <c r="E19" s="5" t="s">
        <v>20</v>
      </c>
      <c r="F19" s="5" t="s">
        <v>35</v>
      </c>
      <c r="G19" s="4">
        <v>9</v>
      </c>
      <c r="H19" s="5" t="s">
        <v>15</v>
      </c>
      <c r="I19" s="4">
        <v>5</v>
      </c>
    </row>
    <row r="20" spans="1:9" ht="15" customHeight="1" x14ac:dyDescent="0.3">
      <c r="A20" s="2" t="s">
        <v>52</v>
      </c>
      <c r="B20" s="3" t="s">
        <v>10</v>
      </c>
      <c r="C20" s="3" t="s">
        <v>11</v>
      </c>
      <c r="D20" s="3" t="s">
        <v>41</v>
      </c>
      <c r="E20" s="3" t="s">
        <v>20</v>
      </c>
      <c r="F20" s="3" t="s">
        <v>14</v>
      </c>
      <c r="G20" s="2">
        <v>13</v>
      </c>
      <c r="H20" s="3" t="s">
        <v>45</v>
      </c>
      <c r="I20" s="2"/>
    </row>
    <row r="21" spans="1:9" ht="15" customHeight="1" x14ac:dyDescent="0.3">
      <c r="A21" s="4" t="s">
        <v>53</v>
      </c>
      <c r="B21" s="5" t="s">
        <v>10</v>
      </c>
      <c r="C21" s="5" t="s">
        <v>24</v>
      </c>
      <c r="D21" s="5" t="s">
        <v>38</v>
      </c>
      <c r="E21" s="5" t="s">
        <v>25</v>
      </c>
      <c r="F21" s="5" t="s">
        <v>21</v>
      </c>
      <c r="G21" s="4">
        <v>2</v>
      </c>
      <c r="H21" s="5" t="s">
        <v>15</v>
      </c>
      <c r="I21" s="4">
        <v>2</v>
      </c>
    </row>
    <row r="22" spans="1:9" ht="15" customHeight="1" x14ac:dyDescent="0.3">
      <c r="A22" s="2" t="s">
        <v>54</v>
      </c>
      <c r="B22" s="3" t="s">
        <v>37</v>
      </c>
      <c r="C22" s="3" t="s">
        <v>11</v>
      </c>
      <c r="D22" s="3" t="s">
        <v>29</v>
      </c>
      <c r="E22" s="3" t="s">
        <v>13</v>
      </c>
      <c r="F22" s="3" t="s">
        <v>14</v>
      </c>
      <c r="G22" s="2">
        <v>19</v>
      </c>
      <c r="H22" s="3" t="s">
        <v>45</v>
      </c>
      <c r="I22" s="2"/>
    </row>
    <row r="23" spans="1:9" ht="15" customHeight="1" x14ac:dyDescent="0.3">
      <c r="A23" s="4" t="s">
        <v>55</v>
      </c>
      <c r="B23" s="5" t="s">
        <v>37</v>
      </c>
      <c r="C23" s="5" t="s">
        <v>33</v>
      </c>
      <c r="D23" s="5" t="s">
        <v>41</v>
      </c>
      <c r="E23" s="5" t="s">
        <v>13</v>
      </c>
      <c r="F23" s="5" t="s">
        <v>35</v>
      </c>
      <c r="G23" s="4">
        <v>14</v>
      </c>
      <c r="H23" s="5" t="s">
        <v>15</v>
      </c>
      <c r="I23" s="4">
        <v>4</v>
      </c>
    </row>
    <row r="24" spans="1:9" ht="15" customHeight="1" x14ac:dyDescent="0.3">
      <c r="A24" s="2" t="s">
        <v>56</v>
      </c>
      <c r="B24" s="3" t="s">
        <v>31</v>
      </c>
      <c r="C24" s="3" t="s">
        <v>33</v>
      </c>
      <c r="D24" s="3" t="s">
        <v>49</v>
      </c>
      <c r="E24" s="3" t="s">
        <v>25</v>
      </c>
      <c r="F24" s="3" t="s">
        <v>35</v>
      </c>
      <c r="G24" s="2">
        <v>28</v>
      </c>
      <c r="H24" s="3" t="s">
        <v>15</v>
      </c>
      <c r="I24" s="2">
        <v>5</v>
      </c>
    </row>
    <row r="25" spans="1:9" ht="15" customHeight="1" x14ac:dyDescent="0.3">
      <c r="A25" s="4" t="s">
        <v>57</v>
      </c>
      <c r="B25" s="5" t="s">
        <v>37</v>
      </c>
      <c r="C25" s="5" t="s">
        <v>28</v>
      </c>
      <c r="D25" s="5" t="s">
        <v>17</v>
      </c>
      <c r="E25" s="5" t="s">
        <v>20</v>
      </c>
      <c r="F25" s="5" t="s">
        <v>26</v>
      </c>
      <c r="G25" s="4">
        <v>6</v>
      </c>
      <c r="H25" s="5" t="s">
        <v>22</v>
      </c>
      <c r="I25" s="4">
        <v>4</v>
      </c>
    </row>
    <row r="26" spans="1:9" ht="15" customHeight="1" x14ac:dyDescent="0.3">
      <c r="A26" s="2" t="s">
        <v>58</v>
      </c>
      <c r="B26" s="3" t="s">
        <v>10</v>
      </c>
      <c r="C26" s="3" t="s">
        <v>11</v>
      </c>
      <c r="D26" s="3" t="s">
        <v>19</v>
      </c>
      <c r="E26" s="3" t="s">
        <v>13</v>
      </c>
      <c r="F26" s="3" t="s">
        <v>26</v>
      </c>
      <c r="G26" s="2">
        <v>1</v>
      </c>
      <c r="H26" s="3" t="s">
        <v>15</v>
      </c>
      <c r="I26" s="2">
        <v>3</v>
      </c>
    </row>
    <row r="27" spans="1:9" ht="15" customHeight="1" x14ac:dyDescent="0.3">
      <c r="A27" s="4" t="s">
        <v>59</v>
      </c>
      <c r="B27" s="5" t="s">
        <v>10</v>
      </c>
      <c r="C27" s="5" t="s">
        <v>24</v>
      </c>
      <c r="D27" s="5" t="s">
        <v>12</v>
      </c>
      <c r="E27" s="5" t="s">
        <v>20</v>
      </c>
      <c r="F27" s="5" t="s">
        <v>26</v>
      </c>
      <c r="G27" s="4">
        <v>15</v>
      </c>
      <c r="H27" s="5" t="s">
        <v>15</v>
      </c>
      <c r="I27" s="4">
        <v>3</v>
      </c>
    </row>
    <row r="28" spans="1:9" ht="15" customHeight="1" x14ac:dyDescent="0.3">
      <c r="A28" s="2" t="s">
        <v>60</v>
      </c>
      <c r="B28" s="3" t="s">
        <v>37</v>
      </c>
      <c r="C28" s="3" t="s">
        <v>28</v>
      </c>
      <c r="D28" s="3" t="s">
        <v>49</v>
      </c>
      <c r="E28" s="3" t="s">
        <v>13</v>
      </c>
      <c r="F28" s="3" t="s">
        <v>21</v>
      </c>
      <c r="G28" s="2">
        <v>20</v>
      </c>
      <c r="H28" s="3" t="s">
        <v>15</v>
      </c>
      <c r="I28" s="2">
        <v>2</v>
      </c>
    </row>
    <row r="29" spans="1:9" ht="15" customHeight="1" x14ac:dyDescent="0.3">
      <c r="A29" s="4" t="s">
        <v>61</v>
      </c>
      <c r="B29" s="5" t="s">
        <v>10</v>
      </c>
      <c r="C29" s="5" t="s">
        <v>28</v>
      </c>
      <c r="D29" s="5" t="s">
        <v>41</v>
      </c>
      <c r="E29" s="5" t="s">
        <v>25</v>
      </c>
      <c r="F29" s="5" t="s">
        <v>35</v>
      </c>
      <c r="G29" s="4">
        <v>13</v>
      </c>
      <c r="H29" s="5" t="s">
        <v>15</v>
      </c>
      <c r="I29" s="4">
        <v>3</v>
      </c>
    </row>
    <row r="30" spans="1:9" ht="15" customHeight="1" x14ac:dyDescent="0.3">
      <c r="A30" s="2" t="s">
        <v>62</v>
      </c>
      <c r="B30" s="3" t="s">
        <v>31</v>
      </c>
      <c r="C30" s="3" t="s">
        <v>11</v>
      </c>
      <c r="D30" s="3" t="s">
        <v>17</v>
      </c>
      <c r="E30" s="3" t="s">
        <v>25</v>
      </c>
      <c r="F30" s="3" t="s">
        <v>26</v>
      </c>
      <c r="G30" s="2">
        <v>8</v>
      </c>
      <c r="H30" s="3" t="s">
        <v>15</v>
      </c>
      <c r="I30" s="2">
        <v>4</v>
      </c>
    </row>
    <row r="31" spans="1:9" ht="15" customHeight="1" x14ac:dyDescent="0.3">
      <c r="A31" s="4" t="s">
        <v>63</v>
      </c>
      <c r="B31" s="5" t="s">
        <v>10</v>
      </c>
      <c r="C31" s="5" t="s">
        <v>33</v>
      </c>
      <c r="D31" s="5" t="s">
        <v>17</v>
      </c>
      <c r="E31" s="5" t="s">
        <v>20</v>
      </c>
      <c r="F31" s="5" t="s">
        <v>21</v>
      </c>
      <c r="G31" s="4">
        <v>7</v>
      </c>
      <c r="H31" s="5" t="s">
        <v>15</v>
      </c>
      <c r="I31" s="4">
        <v>5</v>
      </c>
    </row>
    <row r="32" spans="1:9" ht="15" customHeight="1" x14ac:dyDescent="0.3">
      <c r="A32" s="2" t="s">
        <v>64</v>
      </c>
      <c r="B32" s="3" t="s">
        <v>10</v>
      </c>
      <c r="C32" s="3" t="s">
        <v>28</v>
      </c>
      <c r="D32" s="3" t="s">
        <v>19</v>
      </c>
      <c r="E32" s="3" t="s">
        <v>25</v>
      </c>
      <c r="F32" s="3" t="s">
        <v>14</v>
      </c>
      <c r="G32" s="2">
        <v>3</v>
      </c>
      <c r="H32" s="3" t="s">
        <v>15</v>
      </c>
      <c r="I32" s="2">
        <v>4</v>
      </c>
    </row>
    <row r="33" spans="1:9" ht="15" customHeight="1" x14ac:dyDescent="0.3">
      <c r="A33" s="4" t="s">
        <v>65</v>
      </c>
      <c r="B33" s="5" t="s">
        <v>10</v>
      </c>
      <c r="C33" s="5" t="s">
        <v>11</v>
      </c>
      <c r="D33" s="5" t="s">
        <v>29</v>
      </c>
      <c r="E33" s="5" t="s">
        <v>13</v>
      </c>
      <c r="F33" s="5" t="s">
        <v>21</v>
      </c>
      <c r="G33" s="4">
        <v>19</v>
      </c>
      <c r="H33" s="5" t="s">
        <v>22</v>
      </c>
      <c r="I33" s="4">
        <v>5</v>
      </c>
    </row>
    <row r="34" spans="1:9" ht="15" customHeight="1" x14ac:dyDescent="0.3">
      <c r="A34" s="2" t="s">
        <v>66</v>
      </c>
      <c r="B34" s="3" t="s">
        <v>10</v>
      </c>
      <c r="C34" s="3" t="s">
        <v>28</v>
      </c>
      <c r="D34" s="3" t="s">
        <v>19</v>
      </c>
      <c r="E34" s="3" t="s">
        <v>25</v>
      </c>
      <c r="F34" s="3" t="s">
        <v>26</v>
      </c>
      <c r="G34" s="2">
        <v>1</v>
      </c>
      <c r="H34" s="3" t="s">
        <v>15</v>
      </c>
      <c r="I34" s="2">
        <v>5</v>
      </c>
    </row>
    <row r="35" spans="1:9" ht="15" customHeight="1" x14ac:dyDescent="0.3">
      <c r="A35" s="4" t="s">
        <v>67</v>
      </c>
      <c r="B35" s="5" t="s">
        <v>31</v>
      </c>
      <c r="C35" s="5" t="s">
        <v>28</v>
      </c>
      <c r="D35" s="5" t="s">
        <v>17</v>
      </c>
      <c r="E35" s="5" t="s">
        <v>13</v>
      </c>
      <c r="F35" s="5" t="s">
        <v>21</v>
      </c>
      <c r="G35" s="4">
        <v>8</v>
      </c>
      <c r="H35" s="5" t="s">
        <v>15</v>
      </c>
      <c r="I35" s="4">
        <v>3</v>
      </c>
    </row>
    <row r="36" spans="1:9" ht="15" customHeight="1" x14ac:dyDescent="0.3">
      <c r="A36" s="2" t="s">
        <v>68</v>
      </c>
      <c r="B36" s="3" t="s">
        <v>31</v>
      </c>
      <c r="C36" s="3" t="s">
        <v>24</v>
      </c>
      <c r="D36" s="3" t="s">
        <v>19</v>
      </c>
      <c r="E36" s="3" t="s">
        <v>13</v>
      </c>
      <c r="F36" s="3" t="s">
        <v>26</v>
      </c>
      <c r="G36" s="2">
        <v>5</v>
      </c>
      <c r="H36" s="3" t="s">
        <v>15</v>
      </c>
      <c r="I36" s="2">
        <v>4</v>
      </c>
    </row>
    <row r="37" spans="1:9" ht="15" customHeight="1" x14ac:dyDescent="0.3">
      <c r="A37" s="4" t="s">
        <v>69</v>
      </c>
      <c r="B37" s="5" t="s">
        <v>37</v>
      </c>
      <c r="C37" s="5" t="s">
        <v>33</v>
      </c>
      <c r="D37" s="5" t="s">
        <v>29</v>
      </c>
      <c r="E37" s="5" t="s">
        <v>25</v>
      </c>
      <c r="F37" s="5" t="s">
        <v>26</v>
      </c>
      <c r="G37" s="4">
        <v>17</v>
      </c>
      <c r="H37" s="5" t="s">
        <v>15</v>
      </c>
      <c r="I37" s="4">
        <v>4</v>
      </c>
    </row>
    <row r="38" spans="1:9" ht="15" customHeight="1" x14ac:dyDescent="0.3">
      <c r="A38" s="2" t="s">
        <v>70</v>
      </c>
      <c r="B38" s="3" t="s">
        <v>37</v>
      </c>
      <c r="C38" s="3" t="s">
        <v>11</v>
      </c>
      <c r="D38" s="3" t="s">
        <v>49</v>
      </c>
      <c r="E38" s="3" t="s">
        <v>13</v>
      </c>
      <c r="F38" s="3" t="s">
        <v>14</v>
      </c>
      <c r="G38" s="2">
        <v>23</v>
      </c>
      <c r="H38" s="3" t="s">
        <v>15</v>
      </c>
      <c r="I38" s="2">
        <v>5</v>
      </c>
    </row>
    <row r="39" spans="1:9" ht="15" customHeight="1" x14ac:dyDescent="0.3">
      <c r="A39" s="4" t="s">
        <v>71</v>
      </c>
      <c r="B39" s="5" t="s">
        <v>10</v>
      </c>
      <c r="C39" s="5" t="s">
        <v>11</v>
      </c>
      <c r="D39" s="5" t="s">
        <v>19</v>
      </c>
      <c r="E39" s="5" t="s">
        <v>25</v>
      </c>
      <c r="F39" s="5" t="s">
        <v>47</v>
      </c>
      <c r="G39" s="4">
        <v>2</v>
      </c>
      <c r="H39" s="5" t="s">
        <v>45</v>
      </c>
      <c r="I39" s="4"/>
    </row>
    <row r="40" spans="1:9" ht="15" customHeight="1" x14ac:dyDescent="0.3">
      <c r="A40" s="2" t="s">
        <v>72</v>
      </c>
      <c r="B40" s="3" t="s">
        <v>10</v>
      </c>
      <c r="C40" s="3" t="s">
        <v>24</v>
      </c>
      <c r="D40" s="3" t="s">
        <v>12</v>
      </c>
      <c r="E40" s="3" t="s">
        <v>25</v>
      </c>
      <c r="F40" s="3" t="s">
        <v>21</v>
      </c>
      <c r="G40" s="2">
        <v>5</v>
      </c>
      <c r="H40" s="3" t="s">
        <v>45</v>
      </c>
      <c r="I40" s="2"/>
    </row>
    <row r="41" spans="1:9" ht="15" customHeight="1" x14ac:dyDescent="0.3">
      <c r="A41" s="4" t="s">
        <v>73</v>
      </c>
      <c r="B41" s="5" t="s">
        <v>10</v>
      </c>
      <c r="C41" s="5" t="s">
        <v>28</v>
      </c>
      <c r="D41" s="5" t="s">
        <v>38</v>
      </c>
      <c r="E41" s="5" t="s">
        <v>25</v>
      </c>
      <c r="F41" s="5" t="s">
        <v>35</v>
      </c>
      <c r="G41" s="4">
        <v>3</v>
      </c>
      <c r="H41" s="5" t="s">
        <v>15</v>
      </c>
      <c r="I41" s="4">
        <v>4</v>
      </c>
    </row>
    <row r="42" spans="1:9" ht="15" customHeight="1" x14ac:dyDescent="0.3">
      <c r="A42" s="2" t="s">
        <v>74</v>
      </c>
      <c r="B42" s="3" t="s">
        <v>10</v>
      </c>
      <c r="C42" s="3" t="s">
        <v>33</v>
      </c>
      <c r="D42" s="3" t="s">
        <v>41</v>
      </c>
      <c r="E42" s="3" t="s">
        <v>13</v>
      </c>
      <c r="F42" s="3" t="s">
        <v>14</v>
      </c>
      <c r="G42" s="2">
        <v>4</v>
      </c>
      <c r="H42" s="3" t="s">
        <v>15</v>
      </c>
      <c r="I42" s="2">
        <v>5</v>
      </c>
    </row>
    <row r="43" spans="1:9" ht="15" customHeight="1" x14ac:dyDescent="0.3">
      <c r="A43" s="4" t="s">
        <v>75</v>
      </c>
      <c r="B43" s="5" t="s">
        <v>10</v>
      </c>
      <c r="C43" s="5" t="s">
        <v>24</v>
      </c>
      <c r="D43" s="5" t="s">
        <v>38</v>
      </c>
      <c r="E43" s="5" t="s">
        <v>13</v>
      </c>
      <c r="F43" s="5" t="s">
        <v>35</v>
      </c>
      <c r="G43" s="4">
        <v>6</v>
      </c>
      <c r="H43" s="5" t="s">
        <v>15</v>
      </c>
      <c r="I43" s="4">
        <v>5</v>
      </c>
    </row>
    <row r="44" spans="1:9" ht="15" customHeight="1" x14ac:dyDescent="0.3">
      <c r="A44" s="2" t="s">
        <v>76</v>
      </c>
      <c r="B44" s="3" t="s">
        <v>31</v>
      </c>
      <c r="C44" s="3" t="s">
        <v>11</v>
      </c>
      <c r="D44" s="3" t="s">
        <v>19</v>
      </c>
      <c r="E44" s="3" t="s">
        <v>25</v>
      </c>
      <c r="F44" s="3" t="s">
        <v>14</v>
      </c>
      <c r="G44" s="2">
        <v>1</v>
      </c>
      <c r="H44" s="3" t="s">
        <v>45</v>
      </c>
      <c r="I44" s="2"/>
    </row>
    <row r="45" spans="1:9" ht="15" customHeight="1" x14ac:dyDescent="0.3">
      <c r="A45" s="4" t="s">
        <v>77</v>
      </c>
      <c r="B45" s="5" t="s">
        <v>10</v>
      </c>
      <c r="C45" s="5" t="s">
        <v>24</v>
      </c>
      <c r="D45" s="5" t="s">
        <v>38</v>
      </c>
      <c r="E45" s="5" t="s">
        <v>20</v>
      </c>
      <c r="F45" s="5" t="s">
        <v>26</v>
      </c>
      <c r="G45" s="4">
        <v>1</v>
      </c>
      <c r="H45" s="5" t="s">
        <v>15</v>
      </c>
      <c r="I45" s="4">
        <v>5</v>
      </c>
    </row>
    <row r="46" spans="1:9" ht="15" customHeight="1" x14ac:dyDescent="0.3">
      <c r="A46" s="2" t="s">
        <v>78</v>
      </c>
      <c r="B46" s="3" t="s">
        <v>10</v>
      </c>
      <c r="C46" s="3" t="s">
        <v>24</v>
      </c>
      <c r="D46" s="3" t="s">
        <v>29</v>
      </c>
      <c r="E46" s="3" t="s">
        <v>20</v>
      </c>
      <c r="F46" s="3" t="s">
        <v>21</v>
      </c>
      <c r="G46" s="2">
        <v>19</v>
      </c>
      <c r="H46" s="3" t="s">
        <v>45</v>
      </c>
      <c r="I46" s="2"/>
    </row>
    <row r="47" spans="1:9" ht="15" customHeight="1" x14ac:dyDescent="0.3">
      <c r="A47" s="4" t="s">
        <v>79</v>
      </c>
      <c r="B47" s="5" t="s">
        <v>10</v>
      </c>
      <c r="C47" s="5" t="s">
        <v>11</v>
      </c>
      <c r="D47" s="5" t="s">
        <v>12</v>
      </c>
      <c r="E47" s="5" t="s">
        <v>20</v>
      </c>
      <c r="F47" s="5" t="s">
        <v>26</v>
      </c>
      <c r="G47" s="4">
        <v>14</v>
      </c>
      <c r="H47" s="5" t="s">
        <v>15</v>
      </c>
      <c r="I47" s="4">
        <v>4</v>
      </c>
    </row>
    <row r="48" spans="1:9" ht="15" customHeight="1" x14ac:dyDescent="0.3">
      <c r="A48" s="2" t="s">
        <v>80</v>
      </c>
      <c r="B48" s="3" t="s">
        <v>10</v>
      </c>
      <c r="C48" s="3" t="s">
        <v>33</v>
      </c>
      <c r="D48" s="3" t="s">
        <v>12</v>
      </c>
      <c r="E48" s="3" t="s">
        <v>25</v>
      </c>
      <c r="F48" s="3" t="s">
        <v>47</v>
      </c>
      <c r="G48" s="2">
        <v>14</v>
      </c>
      <c r="H48" s="3" t="s">
        <v>15</v>
      </c>
      <c r="I48" s="2">
        <v>2</v>
      </c>
    </row>
    <row r="49" spans="1:9" ht="15" customHeight="1" x14ac:dyDescent="0.3">
      <c r="A49" s="4" t="s">
        <v>81</v>
      </c>
      <c r="B49" s="5" t="s">
        <v>10</v>
      </c>
      <c r="C49" s="5" t="s">
        <v>11</v>
      </c>
      <c r="D49" s="5" t="s">
        <v>49</v>
      </c>
      <c r="E49" s="5" t="s">
        <v>20</v>
      </c>
      <c r="F49" s="5" t="s">
        <v>21</v>
      </c>
      <c r="G49" s="4">
        <v>22</v>
      </c>
      <c r="H49" s="5" t="s">
        <v>15</v>
      </c>
      <c r="I49" s="4">
        <v>4</v>
      </c>
    </row>
    <row r="50" spans="1:9" ht="15" customHeight="1" x14ac:dyDescent="0.3">
      <c r="A50" s="2" t="s">
        <v>82</v>
      </c>
      <c r="B50" s="3" t="s">
        <v>10</v>
      </c>
      <c r="C50" s="3" t="s">
        <v>24</v>
      </c>
      <c r="D50" s="3" t="s">
        <v>49</v>
      </c>
      <c r="E50" s="3" t="s">
        <v>13</v>
      </c>
      <c r="F50" s="3" t="s">
        <v>26</v>
      </c>
      <c r="G50" s="2">
        <v>20</v>
      </c>
      <c r="H50" s="3" t="s">
        <v>15</v>
      </c>
      <c r="I50" s="2">
        <v>2</v>
      </c>
    </row>
    <row r="51" spans="1:9" ht="15" customHeight="1" x14ac:dyDescent="0.3">
      <c r="A51" s="4" t="s">
        <v>83</v>
      </c>
      <c r="B51" s="5" t="s">
        <v>10</v>
      </c>
      <c r="C51" s="5" t="s">
        <v>24</v>
      </c>
      <c r="D51" s="5" t="s">
        <v>38</v>
      </c>
      <c r="E51" s="5" t="s">
        <v>13</v>
      </c>
      <c r="F51" s="5" t="s">
        <v>14</v>
      </c>
      <c r="G51" s="4">
        <v>3</v>
      </c>
      <c r="H51" s="5" t="s">
        <v>22</v>
      </c>
      <c r="I51" s="4">
        <v>3</v>
      </c>
    </row>
    <row r="52" spans="1:9" ht="15" customHeight="1" x14ac:dyDescent="0.3">
      <c r="A52" s="2" t="s">
        <v>84</v>
      </c>
      <c r="B52" s="3" t="s">
        <v>10</v>
      </c>
      <c r="C52" s="3" t="s">
        <v>33</v>
      </c>
      <c r="D52" s="3" t="s">
        <v>41</v>
      </c>
      <c r="E52" s="3" t="s">
        <v>25</v>
      </c>
      <c r="F52" s="3" t="s">
        <v>21</v>
      </c>
      <c r="G52" s="2">
        <v>14</v>
      </c>
      <c r="H52" s="3" t="s">
        <v>45</v>
      </c>
      <c r="I52" s="2"/>
    </row>
    <row r="53" spans="1:9" ht="15" customHeight="1" x14ac:dyDescent="0.3">
      <c r="A53" s="4" t="s">
        <v>85</v>
      </c>
      <c r="B53" s="5" t="s">
        <v>10</v>
      </c>
      <c r="C53" s="5" t="s">
        <v>28</v>
      </c>
      <c r="D53" s="5" t="s">
        <v>17</v>
      </c>
      <c r="E53" s="5" t="s">
        <v>13</v>
      </c>
      <c r="F53" s="5" t="s">
        <v>21</v>
      </c>
      <c r="G53" s="4">
        <v>1</v>
      </c>
      <c r="H53" s="5" t="s">
        <v>15</v>
      </c>
      <c r="I53" s="4">
        <v>4</v>
      </c>
    </row>
    <row r="54" spans="1:9" ht="15" customHeight="1" x14ac:dyDescent="0.3">
      <c r="A54" s="2" t="s">
        <v>86</v>
      </c>
      <c r="B54" s="3" t="s">
        <v>10</v>
      </c>
      <c r="C54" s="3" t="s">
        <v>33</v>
      </c>
      <c r="D54" s="3" t="s">
        <v>38</v>
      </c>
      <c r="E54" s="3" t="s">
        <v>13</v>
      </c>
      <c r="F54" s="3" t="s">
        <v>47</v>
      </c>
      <c r="G54" s="2">
        <v>8</v>
      </c>
      <c r="H54" s="3" t="s">
        <v>22</v>
      </c>
      <c r="I54" s="2">
        <v>5</v>
      </c>
    </row>
    <row r="55" spans="1:9" ht="15" customHeight="1" x14ac:dyDescent="0.3">
      <c r="A55" s="4" t="s">
        <v>87</v>
      </c>
      <c r="B55" s="5" t="s">
        <v>31</v>
      </c>
      <c r="C55" s="5" t="s">
        <v>33</v>
      </c>
      <c r="D55" s="5" t="s">
        <v>38</v>
      </c>
      <c r="E55" s="5" t="s">
        <v>13</v>
      </c>
      <c r="F55" s="5" t="s">
        <v>47</v>
      </c>
      <c r="G55" s="4">
        <v>7</v>
      </c>
      <c r="H55" s="5" t="s">
        <v>15</v>
      </c>
      <c r="I55" s="4">
        <v>3</v>
      </c>
    </row>
    <row r="56" spans="1:9" ht="15" customHeight="1" x14ac:dyDescent="0.3">
      <c r="A56" s="2" t="s">
        <v>88</v>
      </c>
      <c r="B56" s="3" t="s">
        <v>37</v>
      </c>
      <c r="C56" s="3" t="s">
        <v>24</v>
      </c>
      <c r="D56" s="3" t="s">
        <v>38</v>
      </c>
      <c r="E56" s="3" t="s">
        <v>13</v>
      </c>
      <c r="F56" s="3" t="s">
        <v>26</v>
      </c>
      <c r="G56" s="2">
        <v>6</v>
      </c>
      <c r="H56" s="3" t="s">
        <v>15</v>
      </c>
      <c r="I56" s="2">
        <v>4</v>
      </c>
    </row>
    <row r="57" spans="1:9" ht="15" customHeight="1" x14ac:dyDescent="0.3">
      <c r="A57" s="4" t="s">
        <v>89</v>
      </c>
      <c r="B57" s="5" t="s">
        <v>10</v>
      </c>
      <c r="C57" s="5" t="s">
        <v>11</v>
      </c>
      <c r="D57" s="5" t="s">
        <v>29</v>
      </c>
      <c r="E57" s="5" t="s">
        <v>13</v>
      </c>
      <c r="F57" s="5" t="s">
        <v>26</v>
      </c>
      <c r="G57" s="4">
        <v>17</v>
      </c>
      <c r="H57" s="5" t="s">
        <v>15</v>
      </c>
      <c r="I57" s="4">
        <v>4</v>
      </c>
    </row>
    <row r="58" spans="1:9" ht="15" customHeight="1" x14ac:dyDescent="0.3">
      <c r="A58" s="2" t="s">
        <v>90</v>
      </c>
      <c r="B58" s="3" t="s">
        <v>37</v>
      </c>
      <c r="C58" s="3" t="s">
        <v>11</v>
      </c>
      <c r="D58" s="3" t="s">
        <v>49</v>
      </c>
      <c r="E58" s="3" t="s">
        <v>25</v>
      </c>
      <c r="F58" s="3" t="s">
        <v>47</v>
      </c>
      <c r="G58" s="2">
        <v>21</v>
      </c>
      <c r="H58" s="3" t="s">
        <v>15</v>
      </c>
      <c r="I58" s="2">
        <v>4</v>
      </c>
    </row>
    <row r="59" spans="1:9" ht="15" customHeight="1" x14ac:dyDescent="0.3">
      <c r="A59" s="4" t="s">
        <v>91</v>
      </c>
      <c r="B59" s="5" t="s">
        <v>37</v>
      </c>
      <c r="C59" s="5" t="s">
        <v>11</v>
      </c>
      <c r="D59" s="5" t="s">
        <v>49</v>
      </c>
      <c r="E59" s="5" t="s">
        <v>13</v>
      </c>
      <c r="F59" s="5" t="s">
        <v>14</v>
      </c>
      <c r="G59" s="4">
        <v>19</v>
      </c>
      <c r="H59" s="5" t="s">
        <v>15</v>
      </c>
      <c r="I59" s="4">
        <v>1</v>
      </c>
    </row>
    <row r="60" spans="1:9" ht="15" customHeight="1" x14ac:dyDescent="0.3">
      <c r="A60" s="2" t="s">
        <v>92</v>
      </c>
      <c r="B60" s="3" t="s">
        <v>10</v>
      </c>
      <c r="C60" s="3" t="s">
        <v>28</v>
      </c>
      <c r="D60" s="3" t="s">
        <v>41</v>
      </c>
      <c r="E60" s="3" t="s">
        <v>25</v>
      </c>
      <c r="F60" s="3" t="s">
        <v>26</v>
      </c>
      <c r="G60" s="2">
        <v>14</v>
      </c>
      <c r="H60" s="3" t="s">
        <v>22</v>
      </c>
      <c r="I60" s="2">
        <v>4</v>
      </c>
    </row>
    <row r="61" spans="1:9" ht="15" customHeight="1" x14ac:dyDescent="0.3">
      <c r="A61" s="4" t="s">
        <v>93</v>
      </c>
      <c r="B61" s="5" t="s">
        <v>10</v>
      </c>
      <c r="C61" s="5" t="s">
        <v>11</v>
      </c>
      <c r="D61" s="5" t="s">
        <v>12</v>
      </c>
      <c r="E61" s="5" t="s">
        <v>13</v>
      </c>
      <c r="F61" s="5" t="s">
        <v>35</v>
      </c>
      <c r="G61" s="4">
        <v>7</v>
      </c>
      <c r="H61" s="5" t="s">
        <v>45</v>
      </c>
      <c r="I61" s="4"/>
    </row>
    <row r="62" spans="1:9" ht="15" customHeight="1" x14ac:dyDescent="0.3">
      <c r="A62" s="2" t="s">
        <v>94</v>
      </c>
      <c r="B62" s="3" t="s">
        <v>10</v>
      </c>
      <c r="C62" s="3" t="s">
        <v>33</v>
      </c>
      <c r="D62" s="3" t="s">
        <v>49</v>
      </c>
      <c r="E62" s="3" t="s">
        <v>13</v>
      </c>
      <c r="F62" s="3" t="s">
        <v>47</v>
      </c>
      <c r="G62" s="2">
        <v>19</v>
      </c>
      <c r="H62" s="3" t="s">
        <v>22</v>
      </c>
      <c r="I62" s="2">
        <v>3</v>
      </c>
    </row>
    <row r="63" spans="1:9" ht="15" customHeight="1" x14ac:dyDescent="0.3">
      <c r="A63" s="4" t="s">
        <v>95</v>
      </c>
      <c r="B63" s="5" t="s">
        <v>10</v>
      </c>
      <c r="C63" s="5" t="s">
        <v>24</v>
      </c>
      <c r="D63" s="5" t="s">
        <v>12</v>
      </c>
      <c r="E63" s="5" t="s">
        <v>25</v>
      </c>
      <c r="F63" s="5" t="s">
        <v>47</v>
      </c>
      <c r="G63" s="4">
        <v>13</v>
      </c>
      <c r="H63" s="5" t="s">
        <v>22</v>
      </c>
      <c r="I63" s="4">
        <v>4</v>
      </c>
    </row>
    <row r="64" spans="1:9" ht="15" customHeight="1" x14ac:dyDescent="0.3">
      <c r="A64" s="2" t="s">
        <v>96</v>
      </c>
      <c r="B64" s="3" t="s">
        <v>31</v>
      </c>
      <c r="C64" s="3" t="s">
        <v>24</v>
      </c>
      <c r="D64" s="3" t="s">
        <v>49</v>
      </c>
      <c r="E64" s="3" t="s">
        <v>13</v>
      </c>
      <c r="F64" s="3" t="s">
        <v>47</v>
      </c>
      <c r="G64" s="2">
        <v>21</v>
      </c>
      <c r="H64" s="3" t="s">
        <v>15</v>
      </c>
      <c r="I64" s="2">
        <v>4</v>
      </c>
    </row>
    <row r="65" spans="1:9" ht="15" customHeight="1" x14ac:dyDescent="0.3">
      <c r="A65" s="4" t="s">
        <v>97</v>
      </c>
      <c r="B65" s="5" t="s">
        <v>37</v>
      </c>
      <c r="C65" s="5" t="s">
        <v>33</v>
      </c>
      <c r="D65" s="5" t="s">
        <v>17</v>
      </c>
      <c r="E65" s="5" t="s">
        <v>25</v>
      </c>
      <c r="F65" s="5" t="s">
        <v>26</v>
      </c>
      <c r="G65" s="4">
        <v>11</v>
      </c>
      <c r="H65" s="5" t="s">
        <v>22</v>
      </c>
      <c r="I65" s="4">
        <v>3</v>
      </c>
    </row>
    <row r="66" spans="1:9" ht="15" customHeight="1" x14ac:dyDescent="0.3">
      <c r="A66" s="2" t="s">
        <v>98</v>
      </c>
      <c r="B66" s="3" t="s">
        <v>10</v>
      </c>
      <c r="C66" s="3" t="s">
        <v>24</v>
      </c>
      <c r="D66" s="3" t="s">
        <v>38</v>
      </c>
      <c r="E66" s="3" t="s">
        <v>25</v>
      </c>
      <c r="F66" s="3" t="s">
        <v>21</v>
      </c>
      <c r="G66" s="2">
        <v>2</v>
      </c>
      <c r="H66" s="3" t="s">
        <v>22</v>
      </c>
      <c r="I66" s="2">
        <v>5</v>
      </c>
    </row>
    <row r="67" spans="1:9" ht="15" customHeight="1" x14ac:dyDescent="0.3">
      <c r="A67" s="4" t="s">
        <v>99</v>
      </c>
      <c r="B67" s="5" t="s">
        <v>10</v>
      </c>
      <c r="C67" s="5" t="s">
        <v>28</v>
      </c>
      <c r="D67" s="5" t="s">
        <v>41</v>
      </c>
      <c r="E67" s="5" t="s">
        <v>13</v>
      </c>
      <c r="F67" s="5" t="s">
        <v>14</v>
      </c>
      <c r="G67" s="4">
        <v>12</v>
      </c>
      <c r="H67" s="5" t="s">
        <v>15</v>
      </c>
      <c r="I67" s="4">
        <v>1</v>
      </c>
    </row>
    <row r="68" spans="1:9" ht="15" customHeight="1" x14ac:dyDescent="0.3">
      <c r="A68" s="2" t="s">
        <v>100</v>
      </c>
      <c r="B68" s="3" t="s">
        <v>31</v>
      </c>
      <c r="C68" s="3" t="s">
        <v>28</v>
      </c>
      <c r="D68" s="3" t="s">
        <v>41</v>
      </c>
      <c r="E68" s="3" t="s">
        <v>13</v>
      </c>
      <c r="F68" s="3" t="s">
        <v>47</v>
      </c>
      <c r="G68" s="2">
        <v>11</v>
      </c>
      <c r="H68" s="3" t="s">
        <v>15</v>
      </c>
      <c r="I68" s="2">
        <v>3</v>
      </c>
    </row>
    <row r="69" spans="1:9" ht="15" customHeight="1" x14ac:dyDescent="0.3">
      <c r="A69" s="4" t="s">
        <v>101</v>
      </c>
      <c r="B69" s="5" t="s">
        <v>10</v>
      </c>
      <c r="C69" s="5" t="s">
        <v>11</v>
      </c>
      <c r="D69" s="5" t="s">
        <v>17</v>
      </c>
      <c r="E69" s="5" t="s">
        <v>13</v>
      </c>
      <c r="F69" s="5" t="s">
        <v>47</v>
      </c>
      <c r="G69" s="4">
        <v>10</v>
      </c>
      <c r="H69" s="5" t="s">
        <v>15</v>
      </c>
      <c r="I69" s="4">
        <v>4</v>
      </c>
    </row>
    <row r="70" spans="1:9" ht="15" customHeight="1" x14ac:dyDescent="0.3">
      <c r="A70" s="2" t="s">
        <v>102</v>
      </c>
      <c r="B70" s="3" t="s">
        <v>10</v>
      </c>
      <c r="C70" s="3" t="s">
        <v>28</v>
      </c>
      <c r="D70" s="3" t="s">
        <v>19</v>
      </c>
      <c r="E70" s="3" t="s">
        <v>13</v>
      </c>
      <c r="F70" s="3" t="s">
        <v>21</v>
      </c>
      <c r="G70" s="2">
        <v>1</v>
      </c>
      <c r="H70" s="3" t="s">
        <v>22</v>
      </c>
      <c r="I70" s="2">
        <v>3</v>
      </c>
    </row>
    <row r="71" spans="1:9" ht="15" customHeight="1" x14ac:dyDescent="0.3">
      <c r="A71" s="4" t="s">
        <v>103</v>
      </c>
      <c r="B71" s="5" t="s">
        <v>37</v>
      </c>
      <c r="C71" s="5" t="s">
        <v>24</v>
      </c>
      <c r="D71" s="5" t="s">
        <v>41</v>
      </c>
      <c r="E71" s="5" t="s">
        <v>25</v>
      </c>
      <c r="F71" s="5" t="s">
        <v>47</v>
      </c>
      <c r="G71" s="4">
        <v>14</v>
      </c>
      <c r="H71" s="5" t="s">
        <v>22</v>
      </c>
      <c r="I71" s="4">
        <v>4</v>
      </c>
    </row>
    <row r="72" spans="1:9" ht="15" customHeight="1" x14ac:dyDescent="0.3">
      <c r="A72" s="2" t="s">
        <v>104</v>
      </c>
      <c r="B72" s="3" t="s">
        <v>37</v>
      </c>
      <c r="C72" s="3" t="s">
        <v>33</v>
      </c>
      <c r="D72" s="3" t="s">
        <v>49</v>
      </c>
      <c r="E72" s="3" t="s">
        <v>20</v>
      </c>
      <c r="F72" s="3" t="s">
        <v>47</v>
      </c>
      <c r="G72" s="2">
        <v>16</v>
      </c>
      <c r="H72" s="3" t="s">
        <v>45</v>
      </c>
      <c r="I72" s="2"/>
    </row>
    <row r="73" spans="1:9" ht="15" customHeight="1" x14ac:dyDescent="0.3">
      <c r="A73" s="4" t="s">
        <v>105</v>
      </c>
      <c r="B73" s="5" t="s">
        <v>10</v>
      </c>
      <c r="C73" s="5" t="s">
        <v>28</v>
      </c>
      <c r="D73" s="5" t="s">
        <v>17</v>
      </c>
      <c r="E73" s="5" t="s">
        <v>13</v>
      </c>
      <c r="F73" s="5" t="s">
        <v>21</v>
      </c>
      <c r="G73" s="4">
        <v>10</v>
      </c>
      <c r="H73" s="5" t="s">
        <v>15</v>
      </c>
      <c r="I73" s="4">
        <v>5</v>
      </c>
    </row>
    <row r="74" spans="1:9" ht="15" customHeight="1" x14ac:dyDescent="0.3">
      <c r="A74" s="2" t="s">
        <v>106</v>
      </c>
      <c r="B74" s="3" t="s">
        <v>37</v>
      </c>
      <c r="C74" s="3" t="s">
        <v>11</v>
      </c>
      <c r="D74" s="3" t="s">
        <v>38</v>
      </c>
      <c r="E74" s="3" t="s">
        <v>25</v>
      </c>
      <c r="F74" s="3" t="s">
        <v>21</v>
      </c>
      <c r="G74" s="2">
        <v>3</v>
      </c>
      <c r="H74" s="3" t="s">
        <v>15</v>
      </c>
      <c r="I74" s="2">
        <v>3</v>
      </c>
    </row>
    <row r="75" spans="1:9" ht="15" customHeight="1" x14ac:dyDescent="0.3">
      <c r="A75" s="4" t="s">
        <v>107</v>
      </c>
      <c r="B75" s="5" t="s">
        <v>31</v>
      </c>
      <c r="C75" s="5" t="s">
        <v>33</v>
      </c>
      <c r="D75" s="5" t="s">
        <v>19</v>
      </c>
      <c r="E75" s="5" t="s">
        <v>13</v>
      </c>
      <c r="F75" s="5" t="s">
        <v>26</v>
      </c>
      <c r="G75" s="4">
        <v>1</v>
      </c>
      <c r="H75" s="5" t="s">
        <v>15</v>
      </c>
      <c r="I75" s="4">
        <v>4</v>
      </c>
    </row>
    <row r="76" spans="1:9" ht="15" customHeight="1" x14ac:dyDescent="0.3">
      <c r="A76" s="2" t="s">
        <v>108</v>
      </c>
      <c r="B76" s="3" t="s">
        <v>37</v>
      </c>
      <c r="C76" s="3" t="s">
        <v>28</v>
      </c>
      <c r="D76" s="3" t="s">
        <v>17</v>
      </c>
      <c r="E76" s="3" t="s">
        <v>25</v>
      </c>
      <c r="F76" s="3" t="s">
        <v>14</v>
      </c>
      <c r="G76" s="2">
        <v>5</v>
      </c>
      <c r="H76" s="3" t="s">
        <v>15</v>
      </c>
      <c r="I76" s="2">
        <v>3</v>
      </c>
    </row>
    <row r="77" spans="1:9" ht="15" customHeight="1" x14ac:dyDescent="0.3">
      <c r="A77" s="4" t="s">
        <v>109</v>
      </c>
      <c r="B77" s="5" t="s">
        <v>37</v>
      </c>
      <c r="C77" s="5" t="s">
        <v>28</v>
      </c>
      <c r="D77" s="5" t="s">
        <v>12</v>
      </c>
      <c r="E77" s="5" t="s">
        <v>13</v>
      </c>
      <c r="F77" s="5" t="s">
        <v>26</v>
      </c>
      <c r="G77" s="4">
        <v>11</v>
      </c>
      <c r="H77" s="5" t="s">
        <v>45</v>
      </c>
      <c r="I77" s="4"/>
    </row>
    <row r="78" spans="1:9" ht="15" customHeight="1" x14ac:dyDescent="0.3">
      <c r="A78" s="2" t="s">
        <v>110</v>
      </c>
      <c r="B78" s="3" t="s">
        <v>31</v>
      </c>
      <c r="C78" s="3" t="s">
        <v>33</v>
      </c>
      <c r="D78" s="3" t="s">
        <v>38</v>
      </c>
      <c r="E78" s="3" t="s">
        <v>13</v>
      </c>
      <c r="F78" s="3" t="s">
        <v>47</v>
      </c>
      <c r="G78" s="2">
        <v>8</v>
      </c>
      <c r="H78" s="3" t="s">
        <v>15</v>
      </c>
      <c r="I78" s="2">
        <v>4</v>
      </c>
    </row>
    <row r="79" spans="1:9" ht="15" customHeight="1" x14ac:dyDescent="0.3">
      <c r="A79" s="4" t="s">
        <v>111</v>
      </c>
      <c r="B79" s="5" t="s">
        <v>37</v>
      </c>
      <c r="C79" s="5" t="s">
        <v>24</v>
      </c>
      <c r="D79" s="5" t="s">
        <v>19</v>
      </c>
      <c r="E79" s="5" t="s">
        <v>13</v>
      </c>
      <c r="F79" s="5" t="s">
        <v>47</v>
      </c>
      <c r="G79" s="4">
        <v>1</v>
      </c>
      <c r="H79" s="5" t="s">
        <v>15</v>
      </c>
      <c r="I79" s="4">
        <v>4</v>
      </c>
    </row>
    <row r="80" spans="1:9" ht="15" customHeight="1" x14ac:dyDescent="0.3">
      <c r="A80" s="2" t="s">
        <v>112</v>
      </c>
      <c r="B80" s="3" t="s">
        <v>37</v>
      </c>
      <c r="C80" s="3" t="s">
        <v>11</v>
      </c>
      <c r="D80" s="3" t="s">
        <v>12</v>
      </c>
      <c r="E80" s="3" t="s">
        <v>13</v>
      </c>
      <c r="F80" s="3" t="s">
        <v>26</v>
      </c>
      <c r="G80" s="2">
        <v>19</v>
      </c>
      <c r="H80" s="3" t="s">
        <v>15</v>
      </c>
      <c r="I80" s="2">
        <v>4</v>
      </c>
    </row>
    <row r="81" spans="1:9" ht="15" customHeight="1" x14ac:dyDescent="0.3">
      <c r="A81" s="4" t="s">
        <v>113</v>
      </c>
      <c r="B81" s="5" t="s">
        <v>10</v>
      </c>
      <c r="C81" s="5" t="s">
        <v>11</v>
      </c>
      <c r="D81" s="5" t="s">
        <v>12</v>
      </c>
      <c r="E81" s="5" t="s">
        <v>25</v>
      </c>
      <c r="F81" s="5" t="s">
        <v>35</v>
      </c>
      <c r="G81" s="4">
        <v>7</v>
      </c>
      <c r="H81" s="5" t="s">
        <v>15</v>
      </c>
      <c r="I81" s="4">
        <v>5</v>
      </c>
    </row>
  </sheetData>
  <autoFilter ref="A1:I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topLeftCell="A13" zoomScaleNormal="100" workbookViewId="0">
      <selection activeCell="B24" sqref="B24"/>
    </sheetView>
  </sheetViews>
  <sheetFormatPr defaultColWidth="8.6640625" defaultRowHeight="14.4" x14ac:dyDescent="0.3"/>
  <cols>
    <col min="1" max="1" width="80" customWidth="1"/>
    <col min="2" max="2" width="45" customWidth="1"/>
    <col min="3" max="3" width="20.109375" customWidth="1"/>
    <col min="4" max="8" width="45" customWidth="1"/>
  </cols>
  <sheetData>
    <row r="1" spans="1:8" ht="24" customHeight="1" x14ac:dyDescent="0.3">
      <c r="A1" s="6" t="s">
        <v>114</v>
      </c>
      <c r="B1" s="7"/>
      <c r="C1" s="7"/>
      <c r="D1" s="7"/>
    </row>
    <row r="2" spans="1:8" ht="18" customHeight="1" x14ac:dyDescent="0.3">
      <c r="A2" s="8" t="s">
        <v>115</v>
      </c>
      <c r="B2" s="7"/>
      <c r="C2" s="7"/>
      <c r="D2" s="7"/>
    </row>
    <row r="3" spans="1:8" ht="7.5" customHeight="1" x14ac:dyDescent="0.3">
      <c r="A3" s="7"/>
      <c r="B3" s="7"/>
      <c r="C3" s="7"/>
      <c r="D3" s="7"/>
    </row>
    <row r="4" spans="1:8" ht="21.75" customHeight="1" x14ac:dyDescent="0.3">
      <c r="A4" s="9" t="s">
        <v>116</v>
      </c>
      <c r="B4" s="10"/>
      <c r="C4" s="10"/>
      <c r="D4" s="10"/>
      <c r="E4" s="11"/>
      <c r="F4" s="11"/>
      <c r="G4" s="11"/>
      <c r="H4" s="11"/>
    </row>
    <row r="5" spans="1:8" ht="21.75" customHeight="1" x14ac:dyDescent="0.3">
      <c r="A5" s="12" t="s">
        <v>117</v>
      </c>
      <c r="B5" s="7"/>
      <c r="C5" s="7"/>
      <c r="D5" s="7"/>
    </row>
    <row r="6" spans="1:8" ht="18" customHeight="1" x14ac:dyDescent="0.3">
      <c r="A6" s="13" t="s">
        <v>118</v>
      </c>
      <c r="B6" s="7"/>
      <c r="C6" s="7"/>
      <c r="D6" s="7"/>
    </row>
    <row r="7" spans="1:8" ht="21.75" customHeight="1" x14ac:dyDescent="0.3">
      <c r="A7" s="14" t="s">
        <v>119</v>
      </c>
      <c r="B7" s="7"/>
      <c r="C7" s="7"/>
      <c r="D7" s="7"/>
    </row>
    <row r="8" spans="1:8" ht="18" customHeight="1" x14ac:dyDescent="0.3">
      <c r="A8" s="15" t="s">
        <v>120</v>
      </c>
      <c r="B8" s="7"/>
      <c r="C8" s="7"/>
      <c r="D8" s="7"/>
    </row>
    <row r="9" spans="1:8" ht="7.5" customHeight="1" x14ac:dyDescent="0.3">
      <c r="A9" s="7"/>
      <c r="B9" s="7"/>
      <c r="C9" s="7"/>
      <c r="D9" s="7"/>
    </row>
    <row r="10" spans="1:8" ht="21.75" customHeight="1" x14ac:dyDescent="0.3">
      <c r="A10" s="9" t="s">
        <v>121</v>
      </c>
      <c r="B10" s="10"/>
      <c r="C10" s="10"/>
      <c r="D10" s="10"/>
      <c r="E10" s="11"/>
      <c r="F10" s="11"/>
      <c r="G10" s="11"/>
      <c r="H10" s="11"/>
    </row>
    <row r="11" spans="1:8" ht="15" customHeight="1" x14ac:dyDescent="0.3">
      <c r="A11" s="16" t="s">
        <v>122</v>
      </c>
      <c r="B11" s="16" t="s">
        <v>123</v>
      </c>
      <c r="C11" s="16" t="s">
        <v>124</v>
      </c>
      <c r="D11" s="7"/>
    </row>
    <row r="12" spans="1:8" ht="18" customHeight="1" x14ac:dyDescent="0.3">
      <c r="A12" s="17" t="s">
        <v>125</v>
      </c>
      <c r="B12" s="18">
        <f>COUNTIF(Dados_Atendimento!H:H,"Concluído")</f>
        <v>55</v>
      </c>
      <c r="C12" s="18" t="s">
        <v>126</v>
      </c>
      <c r="D12" s="7">
        <f>COUNTIF(Dados_Atendimento!H1:H81,"Concluído")</f>
        <v>55</v>
      </c>
    </row>
    <row r="13" spans="1:8" ht="18" customHeight="1" x14ac:dyDescent="0.3">
      <c r="A13" s="19" t="s">
        <v>127</v>
      </c>
      <c r="B13" s="20">
        <f>COUNTIF(Dados_Atendimento!H:H,"Pendente")</f>
        <v>12</v>
      </c>
      <c r="C13" s="20" t="s">
        <v>126</v>
      </c>
      <c r="D13" s="7"/>
    </row>
    <row r="14" spans="1:8" ht="18" customHeight="1" x14ac:dyDescent="0.3">
      <c r="A14" s="17" t="s">
        <v>128</v>
      </c>
      <c r="B14" s="18">
        <f>COUNTIF(Dados_Atendimento!E:E,"Online")</f>
        <v>27</v>
      </c>
      <c r="C14" s="18" t="s">
        <v>126</v>
      </c>
      <c r="D14" s="7"/>
    </row>
    <row r="15" spans="1:8" ht="18" customHeight="1" x14ac:dyDescent="0.3">
      <c r="A15" s="19" t="s">
        <v>129</v>
      </c>
      <c r="B15" s="20">
        <f>AVERAGE(Dados_Atendimento!I2:I81)</f>
        <v>3.6911764705882355</v>
      </c>
      <c r="C15" s="20" t="s">
        <v>130</v>
      </c>
      <c r="D15" s="7"/>
    </row>
    <row r="16" spans="1:8" ht="18" customHeight="1" x14ac:dyDescent="0.3">
      <c r="A16" s="17" t="s">
        <v>131</v>
      </c>
      <c r="B16" s="18">
        <f>COUNTIF(Dados_Atendimento!G:G,"&lt;=5")</f>
        <v>25</v>
      </c>
      <c r="C16" s="18" t="s">
        <v>126</v>
      </c>
      <c r="D16" s="7"/>
    </row>
    <row r="17" spans="1:8" ht="7.5" customHeight="1" x14ac:dyDescent="0.3">
      <c r="A17" s="7"/>
      <c r="B17" s="7"/>
      <c r="C17" s="7"/>
      <c r="D17" s="7"/>
    </row>
    <row r="18" spans="1:8" ht="21.75" customHeight="1" x14ac:dyDescent="0.3">
      <c r="A18" s="9" t="s">
        <v>132</v>
      </c>
      <c r="B18" s="10"/>
      <c r="C18" s="10"/>
      <c r="D18" s="10"/>
      <c r="E18" s="11"/>
      <c r="F18" s="11"/>
      <c r="G18" s="11"/>
      <c r="H18" s="11"/>
    </row>
    <row r="19" spans="1:8" ht="18" customHeight="1" x14ac:dyDescent="0.3">
      <c r="A19" s="21" t="s">
        <v>133</v>
      </c>
      <c r="B19" s="7"/>
      <c r="C19" s="7"/>
      <c r="D19" s="7"/>
    </row>
    <row r="20" spans="1:8" ht="18" customHeight="1" x14ac:dyDescent="0.3">
      <c r="A20" s="13" t="s">
        <v>134</v>
      </c>
      <c r="C20" s="7"/>
      <c r="D20" s="7"/>
    </row>
    <row r="21" spans="1:8" ht="18" customHeight="1" x14ac:dyDescent="0.3">
      <c r="A21" s="14" t="s">
        <v>135</v>
      </c>
      <c r="B21" s="7"/>
      <c r="C21" s="7"/>
      <c r="D21" s="7"/>
    </row>
    <row r="22" spans="1:8" ht="7.5" customHeight="1" x14ac:dyDescent="0.3">
      <c r="A22" s="7"/>
      <c r="B22" s="7"/>
      <c r="C22" s="7"/>
      <c r="D22" s="7"/>
    </row>
    <row r="23" spans="1:8" ht="21.75" customHeight="1" x14ac:dyDescent="0.3">
      <c r="A23" s="22" t="s">
        <v>136</v>
      </c>
      <c r="B23" s="23"/>
      <c r="C23" s="23"/>
      <c r="D23" s="23"/>
      <c r="E23" s="24"/>
      <c r="F23" s="24"/>
      <c r="G23" s="24"/>
      <c r="H23" s="24"/>
    </row>
    <row r="24" spans="1:8" ht="21.75" customHeight="1" x14ac:dyDescent="0.3">
      <c r="A24" s="25" t="s">
        <v>137</v>
      </c>
      <c r="B24" s="7"/>
      <c r="C24" s="7"/>
      <c r="D24" s="7"/>
    </row>
    <row r="25" spans="1:8" ht="21.75" customHeight="1" x14ac:dyDescent="0.3">
      <c r="A25" s="26" t="s">
        <v>138</v>
      </c>
      <c r="B25" s="7"/>
      <c r="C25" s="7"/>
      <c r="D25" s="7"/>
    </row>
    <row r="26" spans="1:8" ht="21.75" customHeight="1" x14ac:dyDescent="0.3">
      <c r="A26" s="25" t="s">
        <v>139</v>
      </c>
      <c r="B26" s="7"/>
      <c r="C26" s="7"/>
      <c r="D26" s="7"/>
    </row>
    <row r="27" spans="1:8" ht="21.75" customHeight="1" x14ac:dyDescent="0.3">
      <c r="A27" s="26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65" customWidth="1"/>
  </cols>
  <sheetData>
    <row r="1" spans="1:6" ht="17.25" customHeight="1" x14ac:dyDescent="0.3">
      <c r="A1" s="33" t="s">
        <v>141</v>
      </c>
      <c r="B1" s="33"/>
      <c r="C1" s="33"/>
      <c r="D1" s="33"/>
      <c r="E1" s="33"/>
      <c r="F1" s="33"/>
    </row>
    <row r="2" spans="1:6" ht="15" customHeight="1" x14ac:dyDescent="0.3">
      <c r="A2" s="27"/>
      <c r="B2" s="28"/>
    </row>
    <row r="3" spans="1:6" ht="15" customHeight="1" x14ac:dyDescent="0.3">
      <c r="A3" s="29" t="s">
        <v>142</v>
      </c>
      <c r="B3" s="28" t="s">
        <v>143</v>
      </c>
    </row>
    <row r="4" spans="1:6" ht="15" customHeight="1" x14ac:dyDescent="0.3">
      <c r="A4" s="27" t="s">
        <v>144</v>
      </c>
      <c r="B4" s="28" t="s">
        <v>3</v>
      </c>
    </row>
    <row r="5" spans="1:6" ht="15" customHeight="1" x14ac:dyDescent="0.3">
      <c r="A5" s="27" t="s">
        <v>145</v>
      </c>
      <c r="B5" s="28" t="s">
        <v>4</v>
      </c>
    </row>
    <row r="6" spans="1:6" ht="15" customHeight="1" x14ac:dyDescent="0.3">
      <c r="A6" s="27" t="s">
        <v>146</v>
      </c>
      <c r="B6" s="28" t="s">
        <v>147</v>
      </c>
    </row>
    <row r="7" spans="1:6" ht="15" customHeight="1" x14ac:dyDescent="0.3">
      <c r="A7" s="27"/>
      <c r="B7" s="28"/>
    </row>
    <row r="8" spans="1:6" ht="15" customHeight="1" x14ac:dyDescent="0.3">
      <c r="A8" s="29" t="s">
        <v>148</v>
      </c>
      <c r="B8" s="28">
        <f>COUNTIF(Dados_Atendimento!H:H,"Concluído")</f>
        <v>55</v>
      </c>
    </row>
    <row r="9" spans="1:6" ht="15" customHeight="1" x14ac:dyDescent="0.3">
      <c r="A9" s="29" t="s">
        <v>149</v>
      </c>
      <c r="B9" s="28">
        <f>COUNTIF(Dados_Atendimento!H:H,"Pendente")</f>
        <v>12</v>
      </c>
    </row>
    <row r="10" spans="1:6" ht="15" customHeight="1" x14ac:dyDescent="0.3">
      <c r="A10" s="29" t="s">
        <v>150</v>
      </c>
      <c r="B10" s="28">
        <f>COUNTIF(Dados_Atendimento!E:E,"Online")</f>
        <v>27</v>
      </c>
    </row>
    <row r="11" spans="1:6" ht="15" customHeight="1" x14ac:dyDescent="0.3">
      <c r="A11" s="29" t="s">
        <v>151</v>
      </c>
      <c r="B11" s="28">
        <f>AVERAGE(Dados_Atendimento!I2:I81)</f>
        <v>3.6911764705882355</v>
      </c>
    </row>
    <row r="12" spans="1:6" ht="15" customHeight="1" x14ac:dyDescent="0.3">
      <c r="A12" s="27"/>
      <c r="B12" s="28">
        <f>COUNTIF(Dados_Atendimento!G:G,"&lt;=5")</f>
        <v>25</v>
      </c>
    </row>
    <row r="13" spans="1:6" ht="15" customHeight="1" x14ac:dyDescent="0.3">
      <c r="A13" s="29" t="s">
        <v>152</v>
      </c>
      <c r="B13" s="28" t="str">
        <f>IF(G2&gt;10,"Crítico",IF(G2&gt;5,"Moderado","Normal"))</f>
        <v>Normal</v>
      </c>
    </row>
    <row r="14" spans="1:6" ht="15" customHeight="1" x14ac:dyDescent="0.3">
      <c r="A14" s="27" t="s">
        <v>153</v>
      </c>
      <c r="B14" s="28"/>
    </row>
    <row r="15" spans="1:6" ht="15" customHeight="1" x14ac:dyDescent="0.3">
      <c r="A15" s="27"/>
      <c r="B15" s="28"/>
    </row>
    <row r="16" spans="1:6" ht="15" customHeight="1" x14ac:dyDescent="0.3">
      <c r="A16" s="29" t="s">
        <v>154</v>
      </c>
      <c r="B16" s="28"/>
    </row>
    <row r="17" spans="1:2" ht="15" customHeight="1" x14ac:dyDescent="0.3">
      <c r="A17" s="27" t="s">
        <v>155</v>
      </c>
      <c r="B17" s="28" t="s">
        <v>156</v>
      </c>
    </row>
    <row r="18" spans="1:2" ht="15" customHeight="1" x14ac:dyDescent="0.3">
      <c r="A18" s="27" t="s">
        <v>157</v>
      </c>
      <c r="B18" s="28" t="s">
        <v>158</v>
      </c>
    </row>
    <row r="19" spans="1:2" ht="15" customHeight="1" x14ac:dyDescent="0.3">
      <c r="A19" s="27" t="s">
        <v>159</v>
      </c>
      <c r="B19" s="28" t="s">
        <v>160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Folha1</vt:lpstr>
      <vt:lpstr>Folha2</vt:lpstr>
      <vt:lpstr>Folha3</vt:lpstr>
      <vt:lpstr>Folha4</vt:lpstr>
      <vt:lpstr>Folha5</vt:lpstr>
      <vt:lpstr>Folha6</vt:lpstr>
      <vt:lpstr>Dados_Atendimento</vt:lpstr>
      <vt:lpstr>Análise</vt:lpstr>
      <vt:lpstr>Resolução_Docente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Filipe Pereira Salvador</cp:lastModifiedBy>
  <cp:revision>0</cp:revision>
  <dcterms:created xsi:type="dcterms:W3CDTF">2026-02-28T11:38:15Z</dcterms:created>
  <dcterms:modified xsi:type="dcterms:W3CDTF">2026-03-01T15:56:32Z</dcterms:modified>
  <dc:language>en-US</dc:language>
</cp:coreProperties>
</file>