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ipleiria-my.sharepoint.com/personal/nuno_salvador_ipleiria_pt/Documents/2025-2026/MAP-STI/Práticas/Ficha Prática 3 - Excel/"/>
    </mc:Choice>
  </mc:AlternateContent>
  <xr:revisionPtr revIDLastSave="16" documentId="11_67AECC5D3F2407645E4E39E54DB8B1B49F1FED02" xr6:coauthVersionLast="47" xr6:coauthVersionMax="47" xr10:uidLastSave="{BE0DFFEF-5281-43B1-B13A-88EC13574372}"/>
  <bookViews>
    <workbookView xWindow="-108" yWindow="-108" windowWidth="23256" windowHeight="13896" tabRatio="500" activeTab="1" xr2:uid="{00000000-000D-0000-FFFF-FFFF00000000}"/>
  </bookViews>
  <sheets>
    <sheet name="Contratos_Públicos" sheetId="1" r:id="rId1"/>
    <sheet name="Análise" sheetId="2" r:id="rId2"/>
    <sheet name="Resolução_Docente" sheetId="3" state="hidden" r:id="rId3"/>
  </sheets>
  <definedNames>
    <definedName name="_xlnm._FilterDatabase" localSheetId="0" hidden="1">Contratos_Públicos!$A$1:$M$81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2" l="1"/>
  <c r="D6" i="2"/>
  <c r="D10" i="2" s="1"/>
  <c r="B27" i="2"/>
  <c r="B26" i="2"/>
  <c r="B25" i="2"/>
  <c r="B24" i="2"/>
  <c r="B23" i="2"/>
  <c r="B22" i="2"/>
  <c r="D15" i="2"/>
  <c r="C15" i="2"/>
  <c r="D14" i="2"/>
  <c r="D9" i="2"/>
  <c r="E9" i="2"/>
  <c r="B9" i="2"/>
  <c r="D8" i="2"/>
  <c r="E8" i="2"/>
  <c r="B8" i="2"/>
  <c r="D7" i="2"/>
  <c r="E7" i="2"/>
  <c r="B7" i="2"/>
  <c r="B6" i="2"/>
  <c r="B10" i="2" s="1"/>
  <c r="E6" i="2" l="1"/>
  <c r="C10" i="2"/>
  <c r="E10" i="2" s="1"/>
</calcChain>
</file>

<file path=xl/sharedStrings.xml><?xml version="1.0" encoding="utf-8"?>
<sst xmlns="http://schemas.openxmlformats.org/spreadsheetml/2006/main" count="667" uniqueCount="215">
  <si>
    <t>ID_Contrato</t>
  </si>
  <si>
    <t>Ano</t>
  </si>
  <si>
    <t>Tipo_Procedimento</t>
  </si>
  <si>
    <t>Rubrica</t>
  </si>
  <si>
    <t>Departamento</t>
  </si>
  <si>
    <t>Fornecedor</t>
  </si>
  <si>
    <t>Valor_Adjudicado</t>
  </si>
  <si>
    <t>Valor_Pago</t>
  </si>
  <si>
    <t>Estado</t>
  </si>
  <si>
    <t>Prazo_Contratual_Dias</t>
  </si>
  <si>
    <t>Prazo_Real_Dias</t>
  </si>
  <si>
    <t>Desvio_Orçamental</t>
  </si>
  <si>
    <t>Alerta_Irregularidade</t>
  </si>
  <si>
    <t>CT021</t>
  </si>
  <si>
    <t>Ajuste Directo Simplificado</t>
  </si>
  <si>
    <t>Consultoria</t>
  </si>
  <si>
    <t>Ambiente e Energia</t>
  </si>
  <si>
    <t>Reparações Rápidas Lda</t>
  </si>
  <si>
    <t>Suspenso</t>
  </si>
  <si>
    <t>Não</t>
  </si>
  <si>
    <t>CT057</t>
  </si>
  <si>
    <t>Consulta Prévia</t>
  </si>
  <si>
    <t>Empreitadas de Obras</t>
  </si>
  <si>
    <t>Finanças Municipais</t>
  </si>
  <si>
    <t>Jardinagem Verde Lda</t>
  </si>
  <si>
    <t>Em Execução</t>
  </si>
  <si>
    <t>CT068</t>
  </si>
  <si>
    <t>Concurso Público</t>
  </si>
  <si>
    <t>Locação</t>
  </si>
  <si>
    <t>Urbanismo</t>
  </si>
  <si>
    <t>DataSystems Lda</t>
  </si>
  <si>
    <t>Concluído</t>
  </si>
  <si>
    <t>CT014</t>
  </si>
  <si>
    <t>Aquisição de Serviços</t>
  </si>
  <si>
    <t>Informática e Modernização</t>
  </si>
  <si>
    <t>Limpeza Total Lda</t>
  </si>
  <si>
    <t>Sim</t>
  </si>
  <si>
    <t>CT030</t>
  </si>
  <si>
    <t>Consultores Públicos SA</t>
  </si>
  <si>
    <t>CT026</t>
  </si>
  <si>
    <t>ServiMunic Lda</t>
  </si>
  <si>
    <t>CT038</t>
  </si>
  <si>
    <t>Ajuste Directo</t>
  </si>
  <si>
    <t>SegurNet Lda</t>
  </si>
  <si>
    <t>CT019</t>
  </si>
  <si>
    <t>Aquisição de Bens</t>
  </si>
  <si>
    <t>Formação e Gestão SA</t>
  </si>
  <si>
    <t>CT027</t>
  </si>
  <si>
    <t>Catering Municipal Lda</t>
  </si>
  <si>
    <t>CT073</t>
  </si>
  <si>
    <t>CT015</t>
  </si>
  <si>
    <t>CT078</t>
  </si>
  <si>
    <t>Educação</t>
  </si>
  <si>
    <t>CT076</t>
  </si>
  <si>
    <t>Obras Municipais</t>
  </si>
  <si>
    <t>Mobiliário Escolar Lda</t>
  </si>
  <si>
    <t>CT035</t>
  </si>
  <si>
    <t>CT070</t>
  </si>
  <si>
    <t>CT009</t>
  </si>
  <si>
    <t>Tech Solutions SA</t>
  </si>
  <si>
    <t>CT079</t>
  </si>
  <si>
    <t>CT033</t>
  </si>
  <si>
    <t>EDP Comercial SA</t>
  </si>
  <si>
    <t>CT058</t>
  </si>
  <si>
    <t>CT036</t>
  </si>
  <si>
    <t>Engenharia Civil SA</t>
  </si>
  <si>
    <t>CT029</t>
  </si>
  <si>
    <t>Ação Social</t>
  </si>
  <si>
    <t>Arquitectos Associados SA</t>
  </si>
  <si>
    <t>CT005</t>
  </si>
  <si>
    <t>CT046</t>
  </si>
  <si>
    <t>CT060</t>
  </si>
  <si>
    <t>CT069</t>
  </si>
  <si>
    <t>Pavimentos &amp; Cia</t>
  </si>
  <si>
    <t>CT001</t>
  </si>
  <si>
    <t>CT061</t>
  </si>
  <si>
    <t>Construções Leiria, Lda</t>
  </si>
  <si>
    <t>CT062</t>
  </si>
  <si>
    <t>Águas de Pombal SA</t>
  </si>
  <si>
    <t>CT053</t>
  </si>
  <si>
    <t>CT010</t>
  </si>
  <si>
    <t>CT047</t>
  </si>
  <si>
    <t>Informática Express Lda</t>
  </si>
  <si>
    <t>CT044</t>
  </si>
  <si>
    <t>CT039</t>
  </si>
  <si>
    <t>CT012</t>
  </si>
  <si>
    <t>CT007</t>
  </si>
  <si>
    <t>CT054</t>
  </si>
  <si>
    <t>CT056</t>
  </si>
  <si>
    <t>CT072</t>
  </si>
  <si>
    <t>Material Escritório Plus Lda</t>
  </si>
  <si>
    <t>CT059</t>
  </si>
  <si>
    <t>CT011</t>
  </si>
  <si>
    <t>CT066</t>
  </si>
  <si>
    <t>CT037</t>
  </si>
  <si>
    <t>CT064</t>
  </si>
  <si>
    <t>CT008</t>
  </si>
  <si>
    <t>CT048</t>
  </si>
  <si>
    <t>CT051</t>
  </si>
  <si>
    <t>CT034</t>
  </si>
  <si>
    <t>CT031</t>
  </si>
  <si>
    <t>CT032</t>
  </si>
  <si>
    <t>CT063</t>
  </si>
  <si>
    <t>CT049</t>
  </si>
  <si>
    <t>CT040</t>
  </si>
  <si>
    <t>CT043</t>
  </si>
  <si>
    <t>CT004</t>
  </si>
  <si>
    <t>CT042</t>
  </si>
  <si>
    <t>CT002</t>
  </si>
  <si>
    <t>CT025</t>
  </si>
  <si>
    <t>CT067</t>
  </si>
  <si>
    <t>CT050</t>
  </si>
  <si>
    <t>CT041</t>
  </si>
  <si>
    <t>CT077</t>
  </si>
  <si>
    <t>CT023</t>
  </si>
  <si>
    <t>Vigilância 24h Lda</t>
  </si>
  <si>
    <t>CT045</t>
  </si>
  <si>
    <t>CT003</t>
  </si>
  <si>
    <t>CT074</t>
  </si>
  <si>
    <t>CT020</t>
  </si>
  <si>
    <t>CT016</t>
  </si>
  <si>
    <t>CT080</t>
  </si>
  <si>
    <t>CT017</t>
  </si>
  <si>
    <t>CT022</t>
  </si>
  <si>
    <t>CT028</t>
  </si>
  <si>
    <t>CT018</t>
  </si>
  <si>
    <t>CT055</t>
  </si>
  <si>
    <t>CT065</t>
  </si>
  <si>
    <t>CT013</t>
  </si>
  <si>
    <t>CT071</t>
  </si>
  <si>
    <t>CT075</t>
  </si>
  <si>
    <t>CT006</t>
  </si>
  <si>
    <t>CT024</t>
  </si>
  <si>
    <t>CT052</t>
  </si>
  <si>
    <t>SECÇÃO A — Contratos por Tipo de Procedimento (Exercício 1 e 2)</t>
  </si>
  <si>
    <t>Tipo de Procedimento</t>
  </si>
  <si>
    <t>Nº Contratos</t>
  </si>
  <si>
    <t>Valor Total Adjudicado (€)</t>
  </si>
  <si>
    <t>Valor Total Pago (€)</t>
  </si>
  <si>
    <t>% Execução</t>
  </si>
  <si>
    <t>TOTAL</t>
  </si>
  <si>
    <t>Tipo Procedimento</t>
  </si>
  <si>
    <t>Valor Adjudicado (€)</t>
  </si>
  <si>
    <t>← preencher</t>
  </si>
  <si>
    <t>SECÇÃO C — Indicadores de Alerta para a Auditoria (Exercício 4)</t>
  </si>
  <si>
    <t>Indicador</t>
  </si>
  <si>
    <t>Resultado</t>
  </si>
  <si>
    <t>Fórmula</t>
  </si>
  <si>
    <t>Total de contratos com alerta de irregularidade</t>
  </si>
  <si>
    <t>CONTAR.SE</t>
  </si>
  <si>
    <t>Valor total adjudicado em contratos com alerta</t>
  </si>
  <si>
    <t>SOMASE</t>
  </si>
  <si>
    <t>Nº contratos Ajuste Directo com alerta</t>
  </si>
  <si>
    <t>Valor médio adjudicado por contrato</t>
  </si>
  <si>
    <t>MÉDIA</t>
  </si>
  <si>
    <t>Nº contratos com prazo real &gt; prazo contratual</t>
  </si>
  <si>
    <t>Valor total de contratos suspensos</t>
  </si>
  <si>
    <t>SECÇÃO D — Classificar Contratos por Risco com SE (Exercício 5 — em Contratos_Públicos)</t>
  </si>
  <si>
    <t>Criar coluna N: 'Nível_Risco' em Contratos_Públicos usando SE aninhado</t>
  </si>
  <si>
    <t>Critério: SE Alerta_Irregularidade = "Sim" → "Alto"  |  SE Desvio_Orçamental &gt; 0 → "Médio"  |  caso contrário → "Baixo"</t>
  </si>
  <si>
    <t>Fórmula (Excel PT):  =SE(M2="Sim";"Alto";SE(L2&gt;0;"Médio";"Baixo"))   ← arrastar até N81</t>
  </si>
  <si>
    <t>SECÇÃO E — Perguntas para o Memo de Auditoria (Exercício 6)</t>
  </si>
  <si>
    <t>1.  Qual o tipo de procedimento com maior número de alertas de irregularidade? Qual o valor total envolvido?</t>
  </si>
  <si>
    <t>2.  Existe algum departamento com concentração elevada de ajustes directos acima dos limiares legais?</t>
  </si>
  <si>
    <t>3.  Qual a taxa de execução global (valor pago / valor adjudicado)? Está dentro do esperado?</t>
  </si>
  <si>
    <t>4.  Identifica os 3 factos mais relevantes para incluir no memo de auditoria — com dados numéricos.</t>
  </si>
  <si>
    <t>RESOLUÇÃO — APENAS PARA DOCENTE</t>
  </si>
  <si>
    <t>EX.1 — CONTAR.SE por tipo</t>
  </si>
  <si>
    <t xml:space="preserve"> =COUNTIF(Contratos_Públicos!C:C,"Ajuste Directo")</t>
  </si>
  <si>
    <t>EX.2 — SOMASE valor adjudicado</t>
  </si>
  <si>
    <t xml:space="preserve"> =SUMIF(Contratos_Públicos!C:C,"Ajuste Directo",Contratos_Públicos!G:G)</t>
  </si>
  <si>
    <t>EX.2 — SOMASE valor pago</t>
  </si>
  <si>
    <t xml:space="preserve"> =SUMIF(Contratos_Públicos!C:C,"Ajuste Directo",Contratos_Públicos!H:H)</t>
  </si>
  <si>
    <t>EX.2 — % execução</t>
  </si>
  <si>
    <t xml:space="preserve"> =D6/C6  (valor pago / valor adjudicado)</t>
  </si>
  <si>
    <t>EX.3 — SOMASES (2 critérios)</t>
  </si>
  <si>
    <t xml:space="preserve"> =SUMIFS(Contratos_Públicos!G:G,Contratos_Públicos!C:C,"Ajuste Directo",Contratos_Públicos!E:E,"Obras Municipais")</t>
  </si>
  <si>
    <t>EX.3 — COUNTIFS equivalente</t>
  </si>
  <si>
    <t xml:space="preserve"> =COUNTIFS(Contratos_Públicos!C:C,"Ajuste Directo",Contratos_Públicos!E:E,"Obras Municipais")</t>
  </si>
  <si>
    <t xml:space="preserve">  Diferença SOMASE vs SOMASES:</t>
  </si>
  <si>
    <t xml:space="preserve">  SOMASE = 1 critério | SOMASES = 2+ critérios; intervalo_soma vem PRIMEIRO no SOMASES</t>
  </si>
  <si>
    <t>EX.4 — Alertas CONTAR.SE</t>
  </si>
  <si>
    <t xml:space="preserve"> =COUNTIF(Contratos_Públicos!M:M,"Sim")</t>
  </si>
  <si>
    <t>EX.4 — Valor alertas SOMASE</t>
  </si>
  <si>
    <t xml:space="preserve"> =SUMIF(Contratos_Públicos!M:M,"Sim",Contratos_Públicos!G:G)</t>
  </si>
  <si>
    <t>EX.4 — COUNTIFS tipo+alerta</t>
  </si>
  <si>
    <t xml:space="preserve"> =COUNTIFS(Contratos_Públicos!C:C,"Ajuste Directo",Contratos_Públicos!M:M,"Sim")</t>
  </si>
  <si>
    <t>EX.4 — Desvio positivo CONTAR.SE</t>
  </si>
  <si>
    <t xml:space="preserve"> =COUNTIF(Contratos_Públicos!L:L,"&gt;0")</t>
  </si>
  <si>
    <t>EX.5 — SE Nível_Risco (col N)</t>
  </si>
  <si>
    <t xml:space="preserve"> =SE(M2="Sim";"Alto";SE(L2&gt;0;"Médio";"Baixo"))  — arrastar até N81</t>
  </si>
  <si>
    <t>EX.6 — TD com campo calculado:</t>
  </si>
  <si>
    <t xml:space="preserve">  Inserir TD na folha nova</t>
  </si>
  <si>
    <t xml:space="preserve">  Linhas: Tipo_Procedimento | Colunas: Estado | Valores: Soma Valor_Adjudicado</t>
  </si>
  <si>
    <t xml:space="preserve">  Campo calculado:</t>
  </si>
  <si>
    <t xml:space="preserve">  Analisar &gt; Campos, Itens e Conjuntos &gt; Campo Calculado</t>
  </si>
  <si>
    <t xml:space="preserve">  Nome: Taxa_Execução</t>
  </si>
  <si>
    <t xml:space="preserve">  Fórmula: =Valor_Pago/Valor_Adjudicado</t>
  </si>
  <si>
    <t xml:space="preserve">  Formatar como %:</t>
  </si>
  <si>
    <t xml:space="preserve">  Clicar no campo na TD &gt; Formatar Células &gt; Percentagem</t>
  </si>
  <si>
    <t>Memo — factos chave esperados:</t>
  </si>
  <si>
    <t xml:space="preserve">  1. Nº e valor alertas irregularidade</t>
  </si>
  <si>
    <t xml:space="preserve">  COUNTIF col M = Sim + SUMIF</t>
  </si>
  <si>
    <t xml:space="preserve">  2. Tipo com mais alertas</t>
  </si>
  <si>
    <t xml:space="preserve">  COUNTIFS tipo + alerta</t>
  </si>
  <si>
    <t xml:space="preserve">  3. Taxa execução global</t>
  </si>
  <si>
    <t xml:space="preserve">  SUM(H)/SUM(G) — ou campo calculado na TD</t>
  </si>
  <si>
    <t xml:space="preserve">  4. Contratos suspensos</t>
  </si>
  <si>
    <t xml:space="preserve">  SUMIF estado = Suspenso + valor adjudicado</t>
  </si>
  <si>
    <t>SECÇÃO B — Análise Cruzada: Tipo × Departamento com SOMA.SE.S (Exercício 3)</t>
  </si>
  <si>
    <t>CONTAR.SE.S</t>
  </si>
  <si>
    <t>SOMA.SE</t>
  </si>
  <si>
    <t>ANÁLISE DE CONTRATOS PÚBLICOS — Município de Vila Feliz | 2022-2024</t>
  </si>
  <si>
    <t>Divisão Auditoria |  Suporte à Auditoria Interna</t>
  </si>
  <si>
    <t>=SOMA.SE(Contratos_Públicos!C:C;A6;Contratos_Públicos!G:G)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</si>
</sst>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%"/>
  </numFmts>
  <fonts count="1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C00000"/>
      <name val="Arial"/>
      <charset val="1"/>
    </font>
    <font>
      <b/>
      <sz val="13"/>
      <color rgb="FF1E4FA0"/>
      <name val="Arial"/>
      <charset val="1"/>
    </font>
    <font>
      <i/>
      <sz val="10"/>
      <color rgb="FF6B7C99"/>
      <name val="Arial"/>
      <charset val="1"/>
    </font>
    <font>
      <b/>
      <sz val="11"/>
      <color rgb="FFFFFFFF"/>
      <name val="Arial"/>
      <charset val="1"/>
    </font>
    <font>
      <b/>
      <sz val="10"/>
      <color rgb="FF1E4FA0"/>
      <name val="Arial"/>
      <charset val="1"/>
    </font>
    <font>
      <sz val="10"/>
      <name val="Arial"/>
      <charset val="1"/>
    </font>
    <font>
      <sz val="10"/>
      <color rgb="FF1E4FA0"/>
      <name val="Arial"/>
      <charset val="1"/>
    </font>
    <font>
      <b/>
      <sz val="10"/>
      <name val="Arial"/>
      <charset val="1"/>
    </font>
    <font>
      <i/>
      <sz val="9"/>
      <color rgb="FFBBBBBB"/>
      <name val="Arial"/>
      <charset val="1"/>
    </font>
    <font>
      <sz val="10"/>
      <color rgb="FF6B7C99"/>
      <name val="Arial"/>
      <charset val="1"/>
    </font>
    <font>
      <sz val="10"/>
      <color rgb="FF2D2D2D"/>
      <name val="Arial"/>
      <charset val="1"/>
    </font>
    <font>
      <b/>
      <sz val="13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E4FA0"/>
        <bgColor rgb="FF1B3A6B"/>
      </patternFill>
    </fill>
    <fill>
      <patternFill patternType="solid">
        <fgColor rgb="FFEEF2FA"/>
        <bgColor rgb="FFF7F9FC"/>
      </patternFill>
    </fill>
    <fill>
      <patternFill patternType="solid">
        <fgColor rgb="FFFFF0F0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0D8EC"/>
        <bgColor rgb="FFCCCCCC"/>
      </patternFill>
    </fill>
    <fill>
      <patternFill patternType="solid">
        <fgColor rgb="FF1B3A6B"/>
        <bgColor rgb="FF1E4FA0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0" fillId="2" borderId="0" xfId="0" applyFill="1"/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right" vertical="center"/>
    </xf>
    <xf numFmtId="165" fontId="10" fillId="7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/>
    <xf numFmtId="0" fontId="0" fillId="6" borderId="1" xfId="0" applyFill="1" applyBorder="1"/>
    <xf numFmtId="0" fontId="11" fillId="5" borderId="1" xfId="0" applyFont="1" applyFill="1" applyBorder="1"/>
    <xf numFmtId="0" fontId="0" fillId="5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0" fillId="8" borderId="0" xfId="0" applyFill="1"/>
    <xf numFmtId="0" fontId="13" fillId="5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14" fillId="9" borderId="0" xfId="0" applyFont="1" applyFill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6B7C99"/>
      <rgbColor rgb="FF9999FF"/>
      <rgbColor rgb="FF993366"/>
      <rgbColor rgb="FFFFF0F0"/>
      <rgbColor rgb="FFEEF2FA"/>
      <rgbColor rgb="FF660066"/>
      <rgbColor rgb="FFFF8080"/>
      <rgbColor rgb="FF0066CC"/>
      <rgbColor rgb="FFD0D8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F99"/>
      <rgbColor rgb="FFCCCCC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1E4FA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opLeftCell="B1" zoomScaleNormal="100" workbookViewId="0">
      <pane ySplit="1" topLeftCell="A2" activePane="bottomLeft" state="frozen"/>
      <selection pane="bottomLeft" activeCell="G6" sqref="G6"/>
    </sheetView>
  </sheetViews>
  <sheetFormatPr defaultColWidth="8.6640625" defaultRowHeight="14.4" x14ac:dyDescent="0.3"/>
  <cols>
    <col min="1" max="1" width="10" customWidth="1"/>
    <col min="2" max="2" width="6" customWidth="1"/>
    <col min="3" max="3" width="30" customWidth="1"/>
    <col min="4" max="4" width="24" customWidth="1"/>
    <col min="5" max="5" width="26" customWidth="1"/>
    <col min="6" max="6" width="30" customWidth="1"/>
    <col min="7" max="7" width="20" customWidth="1"/>
    <col min="8" max="9" width="14" customWidth="1"/>
    <col min="10" max="10" width="20" customWidth="1"/>
    <col min="11" max="11" width="16" customWidth="1"/>
    <col min="12" max="12" width="20" customWidth="1"/>
    <col min="13" max="13" width="22" customWidth="1"/>
  </cols>
  <sheetData>
    <row r="1" spans="1:13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2023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2203.39</v>
      </c>
      <c r="H2" s="4">
        <v>771.52</v>
      </c>
      <c r="I2" s="3" t="s">
        <v>18</v>
      </c>
      <c r="J2" s="2">
        <v>24</v>
      </c>
      <c r="K2" s="2">
        <v>24</v>
      </c>
      <c r="L2" s="4">
        <v>-1431.87</v>
      </c>
      <c r="M2" s="3" t="s">
        <v>19</v>
      </c>
    </row>
    <row r="3" spans="1:13" x14ac:dyDescent="0.3">
      <c r="A3" s="5" t="s">
        <v>20</v>
      </c>
      <c r="B3" s="5">
        <v>2022</v>
      </c>
      <c r="C3" s="6" t="s">
        <v>21</v>
      </c>
      <c r="D3" s="6" t="s">
        <v>22</v>
      </c>
      <c r="E3" s="6" t="s">
        <v>23</v>
      </c>
      <c r="F3" s="6" t="s">
        <v>24</v>
      </c>
      <c r="G3" s="7">
        <v>97589.01</v>
      </c>
      <c r="H3" s="7">
        <v>58054.25</v>
      </c>
      <c r="I3" s="6" t="s">
        <v>25</v>
      </c>
      <c r="J3" s="5">
        <v>111</v>
      </c>
      <c r="K3" s="5">
        <v>111</v>
      </c>
      <c r="L3" s="7">
        <v>-39534.76</v>
      </c>
      <c r="M3" s="6" t="s">
        <v>19</v>
      </c>
    </row>
    <row r="4" spans="1:13" x14ac:dyDescent="0.3">
      <c r="A4" s="2" t="s">
        <v>26</v>
      </c>
      <c r="B4" s="2">
        <v>2023</v>
      </c>
      <c r="C4" s="3" t="s">
        <v>27</v>
      </c>
      <c r="D4" s="3" t="s">
        <v>28</v>
      </c>
      <c r="E4" s="3" t="s">
        <v>29</v>
      </c>
      <c r="F4" s="3" t="s">
        <v>30</v>
      </c>
      <c r="G4" s="4">
        <v>202375.39</v>
      </c>
      <c r="H4" s="4">
        <v>206679.51</v>
      </c>
      <c r="I4" s="3" t="s">
        <v>31</v>
      </c>
      <c r="J4" s="2">
        <v>362</v>
      </c>
      <c r="K4" s="2">
        <v>296</v>
      </c>
      <c r="L4" s="4">
        <v>4304.12</v>
      </c>
      <c r="M4" s="3" t="s">
        <v>19</v>
      </c>
    </row>
    <row r="5" spans="1:13" x14ac:dyDescent="0.3">
      <c r="A5" s="8" t="s">
        <v>32</v>
      </c>
      <c r="B5" s="8">
        <v>2022</v>
      </c>
      <c r="C5" s="9" t="s">
        <v>14</v>
      </c>
      <c r="D5" s="9" t="s">
        <v>33</v>
      </c>
      <c r="E5" s="9" t="s">
        <v>34</v>
      </c>
      <c r="F5" s="9" t="s">
        <v>35</v>
      </c>
      <c r="G5" s="10">
        <v>612.92999999999995</v>
      </c>
      <c r="H5" s="10">
        <v>603.16999999999996</v>
      </c>
      <c r="I5" s="9" t="s">
        <v>31</v>
      </c>
      <c r="J5" s="8">
        <v>27</v>
      </c>
      <c r="K5" s="8">
        <v>34</v>
      </c>
      <c r="L5" s="10">
        <v>-9.76</v>
      </c>
      <c r="M5" s="11" t="s">
        <v>36</v>
      </c>
    </row>
    <row r="6" spans="1:13" x14ac:dyDescent="0.3">
      <c r="A6" s="2" t="s">
        <v>37</v>
      </c>
      <c r="B6" s="2">
        <v>2023</v>
      </c>
      <c r="C6" s="3" t="s">
        <v>14</v>
      </c>
      <c r="D6" s="3" t="s">
        <v>15</v>
      </c>
      <c r="E6" s="3" t="s">
        <v>29</v>
      </c>
      <c r="F6" s="3" t="s">
        <v>38</v>
      </c>
      <c r="G6" s="4">
        <v>3633.67</v>
      </c>
      <c r="H6" s="4">
        <v>3659.87</v>
      </c>
      <c r="I6" s="3" t="s">
        <v>31</v>
      </c>
      <c r="J6" s="2">
        <v>24</v>
      </c>
      <c r="K6" s="2">
        <v>26</v>
      </c>
      <c r="L6" s="4">
        <v>26.2</v>
      </c>
      <c r="M6" s="3" t="s">
        <v>19</v>
      </c>
    </row>
    <row r="7" spans="1:13" x14ac:dyDescent="0.3">
      <c r="A7" s="5" t="s">
        <v>39</v>
      </c>
      <c r="B7" s="5">
        <v>2023</v>
      </c>
      <c r="C7" s="6" t="s">
        <v>14</v>
      </c>
      <c r="D7" s="6" t="s">
        <v>15</v>
      </c>
      <c r="E7" s="6" t="s">
        <v>29</v>
      </c>
      <c r="F7" s="6" t="s">
        <v>40</v>
      </c>
      <c r="G7" s="7">
        <v>520.61</v>
      </c>
      <c r="H7" s="7">
        <v>481.66</v>
      </c>
      <c r="I7" s="6" t="s">
        <v>31</v>
      </c>
      <c r="J7" s="5">
        <v>19</v>
      </c>
      <c r="K7" s="5">
        <v>15</v>
      </c>
      <c r="L7" s="7">
        <v>-38.950000000000003</v>
      </c>
      <c r="M7" s="6" t="s">
        <v>19</v>
      </c>
    </row>
    <row r="8" spans="1:13" x14ac:dyDescent="0.3">
      <c r="A8" s="2" t="s">
        <v>41</v>
      </c>
      <c r="B8" s="2">
        <v>2023</v>
      </c>
      <c r="C8" s="3" t="s">
        <v>42</v>
      </c>
      <c r="D8" s="3" t="s">
        <v>22</v>
      </c>
      <c r="E8" s="3" t="s">
        <v>23</v>
      </c>
      <c r="F8" s="3" t="s">
        <v>43</v>
      </c>
      <c r="G8" s="4">
        <v>74784.759999999995</v>
      </c>
      <c r="H8" s="4">
        <v>68805.06</v>
      </c>
      <c r="I8" s="3" t="s">
        <v>31</v>
      </c>
      <c r="J8" s="2">
        <v>33</v>
      </c>
      <c r="K8" s="2">
        <v>28</v>
      </c>
      <c r="L8" s="4">
        <v>-5979.7</v>
      </c>
      <c r="M8" s="3" t="s">
        <v>19</v>
      </c>
    </row>
    <row r="9" spans="1:13" x14ac:dyDescent="0.3">
      <c r="A9" s="5" t="s">
        <v>44</v>
      </c>
      <c r="B9" s="5">
        <v>2023</v>
      </c>
      <c r="C9" s="6" t="s">
        <v>14</v>
      </c>
      <c r="D9" s="6" t="s">
        <v>45</v>
      </c>
      <c r="E9" s="6" t="s">
        <v>29</v>
      </c>
      <c r="F9" s="6" t="s">
        <v>46</v>
      </c>
      <c r="G9" s="7">
        <v>1775.83</v>
      </c>
      <c r="H9" s="7">
        <v>1814.19</v>
      </c>
      <c r="I9" s="6" t="s">
        <v>31</v>
      </c>
      <c r="J9" s="5">
        <v>25</v>
      </c>
      <c r="K9" s="5">
        <v>23</v>
      </c>
      <c r="L9" s="7">
        <v>38.36</v>
      </c>
      <c r="M9" s="6" t="s">
        <v>19</v>
      </c>
    </row>
    <row r="10" spans="1:13" x14ac:dyDescent="0.3">
      <c r="A10" s="2" t="s">
        <v>47</v>
      </c>
      <c r="B10" s="2">
        <v>2023</v>
      </c>
      <c r="C10" s="3" t="s">
        <v>14</v>
      </c>
      <c r="D10" s="3" t="s">
        <v>22</v>
      </c>
      <c r="E10" s="3" t="s">
        <v>29</v>
      </c>
      <c r="F10" s="3" t="s">
        <v>48</v>
      </c>
      <c r="G10" s="4">
        <v>3349.27</v>
      </c>
      <c r="H10" s="4">
        <v>3210.51</v>
      </c>
      <c r="I10" s="3" t="s">
        <v>31</v>
      </c>
      <c r="J10" s="2">
        <v>17</v>
      </c>
      <c r="K10" s="2">
        <v>14</v>
      </c>
      <c r="L10" s="4">
        <v>-138.76</v>
      </c>
      <c r="M10" s="3" t="s">
        <v>19</v>
      </c>
    </row>
    <row r="11" spans="1:13" x14ac:dyDescent="0.3">
      <c r="A11" s="5" t="s">
        <v>49</v>
      </c>
      <c r="B11" s="5">
        <v>2023</v>
      </c>
      <c r="C11" s="6" t="s">
        <v>27</v>
      </c>
      <c r="D11" s="6" t="s">
        <v>15</v>
      </c>
      <c r="E11" s="6" t="s">
        <v>29</v>
      </c>
      <c r="F11" s="6" t="s">
        <v>17</v>
      </c>
      <c r="G11" s="7">
        <v>118881.04</v>
      </c>
      <c r="H11" s="7">
        <v>41217.199999999997</v>
      </c>
      <c r="I11" s="6" t="s">
        <v>18</v>
      </c>
      <c r="J11" s="5">
        <v>97</v>
      </c>
      <c r="K11" s="5">
        <v>97</v>
      </c>
      <c r="L11" s="7">
        <v>-77663.839999999997</v>
      </c>
      <c r="M11" s="6" t="s">
        <v>19</v>
      </c>
    </row>
    <row r="12" spans="1:13" x14ac:dyDescent="0.3">
      <c r="A12" s="2" t="s">
        <v>50</v>
      </c>
      <c r="B12" s="2">
        <v>2023</v>
      </c>
      <c r="C12" s="3" t="s">
        <v>14</v>
      </c>
      <c r="D12" s="3" t="s">
        <v>15</v>
      </c>
      <c r="E12" s="3" t="s">
        <v>23</v>
      </c>
      <c r="F12" s="3" t="s">
        <v>48</v>
      </c>
      <c r="G12" s="4">
        <v>2702.84</v>
      </c>
      <c r="H12" s="4">
        <v>2620.8200000000002</v>
      </c>
      <c r="I12" s="3" t="s">
        <v>31</v>
      </c>
      <c r="J12" s="2">
        <v>18</v>
      </c>
      <c r="K12" s="2">
        <v>18</v>
      </c>
      <c r="L12" s="4">
        <v>-82.02</v>
      </c>
      <c r="M12" s="3" t="s">
        <v>19</v>
      </c>
    </row>
    <row r="13" spans="1:13" x14ac:dyDescent="0.3">
      <c r="A13" s="5" t="s">
        <v>51</v>
      </c>
      <c r="B13" s="5">
        <v>2022</v>
      </c>
      <c r="C13" s="6" t="s">
        <v>27</v>
      </c>
      <c r="D13" s="6" t="s">
        <v>28</v>
      </c>
      <c r="E13" s="6" t="s">
        <v>52</v>
      </c>
      <c r="F13" s="6" t="s">
        <v>38</v>
      </c>
      <c r="G13" s="7">
        <v>299817.05</v>
      </c>
      <c r="H13" s="7">
        <v>311510.13</v>
      </c>
      <c r="I13" s="6" t="s">
        <v>31</v>
      </c>
      <c r="J13" s="5">
        <v>62</v>
      </c>
      <c r="K13" s="5">
        <v>73</v>
      </c>
      <c r="L13" s="7">
        <v>11693.08</v>
      </c>
      <c r="M13" s="6" t="s">
        <v>19</v>
      </c>
    </row>
    <row r="14" spans="1:13" x14ac:dyDescent="0.3">
      <c r="A14" s="2" t="s">
        <v>53</v>
      </c>
      <c r="B14" s="2">
        <v>2023</v>
      </c>
      <c r="C14" s="3" t="s">
        <v>27</v>
      </c>
      <c r="D14" s="3" t="s">
        <v>22</v>
      </c>
      <c r="E14" s="3" t="s">
        <v>54</v>
      </c>
      <c r="F14" s="3" t="s">
        <v>55</v>
      </c>
      <c r="G14" s="4">
        <v>185230.31</v>
      </c>
      <c r="H14" s="4">
        <v>71277.649999999994</v>
      </c>
      <c r="I14" s="3" t="s">
        <v>18</v>
      </c>
      <c r="J14" s="2">
        <v>278</v>
      </c>
      <c r="K14" s="2">
        <v>278</v>
      </c>
      <c r="L14" s="4">
        <v>-113952.66</v>
      </c>
      <c r="M14" s="3" t="s">
        <v>19</v>
      </c>
    </row>
    <row r="15" spans="1:13" x14ac:dyDescent="0.3">
      <c r="A15" s="5" t="s">
        <v>56</v>
      </c>
      <c r="B15" s="5">
        <v>2023</v>
      </c>
      <c r="C15" s="6" t="s">
        <v>42</v>
      </c>
      <c r="D15" s="6" t="s">
        <v>33</v>
      </c>
      <c r="E15" s="6" t="s">
        <v>23</v>
      </c>
      <c r="F15" s="6" t="s">
        <v>30</v>
      </c>
      <c r="G15" s="7">
        <v>27002.07</v>
      </c>
      <c r="H15" s="7">
        <v>20227.79</v>
      </c>
      <c r="I15" s="6" t="s">
        <v>25</v>
      </c>
      <c r="J15" s="5">
        <v>36</v>
      </c>
      <c r="K15" s="5">
        <v>36</v>
      </c>
      <c r="L15" s="7">
        <v>-6774.28</v>
      </c>
      <c r="M15" s="6" t="s">
        <v>19</v>
      </c>
    </row>
    <row r="16" spans="1:13" x14ac:dyDescent="0.3">
      <c r="A16" s="2" t="s">
        <v>57</v>
      </c>
      <c r="B16" s="2">
        <v>2023</v>
      </c>
      <c r="C16" s="3" t="s">
        <v>27</v>
      </c>
      <c r="D16" s="3" t="s">
        <v>28</v>
      </c>
      <c r="E16" s="3" t="s">
        <v>34</v>
      </c>
      <c r="F16" s="3" t="s">
        <v>46</v>
      </c>
      <c r="G16" s="4">
        <v>37741.56</v>
      </c>
      <c r="H16" s="4">
        <v>34222.81</v>
      </c>
      <c r="I16" s="3" t="s">
        <v>31</v>
      </c>
      <c r="J16" s="2">
        <v>177</v>
      </c>
      <c r="K16" s="2">
        <v>219</v>
      </c>
      <c r="L16" s="4">
        <v>-3518.75</v>
      </c>
      <c r="M16" s="3" t="s">
        <v>19</v>
      </c>
    </row>
    <row r="17" spans="1:13" x14ac:dyDescent="0.3">
      <c r="A17" s="5" t="s">
        <v>58</v>
      </c>
      <c r="B17" s="5">
        <v>2022</v>
      </c>
      <c r="C17" s="6" t="s">
        <v>14</v>
      </c>
      <c r="D17" s="6" t="s">
        <v>28</v>
      </c>
      <c r="E17" s="6" t="s">
        <v>54</v>
      </c>
      <c r="F17" s="6" t="s">
        <v>59</v>
      </c>
      <c r="G17" s="7">
        <v>2731.16</v>
      </c>
      <c r="H17" s="7">
        <v>2728.89</v>
      </c>
      <c r="I17" s="6" t="s">
        <v>31</v>
      </c>
      <c r="J17" s="5">
        <v>28</v>
      </c>
      <c r="K17" s="5">
        <v>24</v>
      </c>
      <c r="L17" s="7">
        <v>-2.27</v>
      </c>
      <c r="M17" s="6" t="s">
        <v>19</v>
      </c>
    </row>
    <row r="18" spans="1:13" x14ac:dyDescent="0.3">
      <c r="A18" s="2" t="s">
        <v>60</v>
      </c>
      <c r="B18" s="2">
        <v>2023</v>
      </c>
      <c r="C18" s="3" t="s">
        <v>27</v>
      </c>
      <c r="D18" s="3" t="s">
        <v>22</v>
      </c>
      <c r="E18" s="3" t="s">
        <v>34</v>
      </c>
      <c r="F18" s="3" t="s">
        <v>24</v>
      </c>
      <c r="G18" s="4">
        <v>136910.85</v>
      </c>
      <c r="H18" s="4">
        <v>72384.14</v>
      </c>
      <c r="I18" s="3" t="s">
        <v>25</v>
      </c>
      <c r="J18" s="2">
        <v>106</v>
      </c>
      <c r="K18" s="2">
        <v>106</v>
      </c>
      <c r="L18" s="4">
        <v>-64526.71</v>
      </c>
      <c r="M18" s="3" t="s">
        <v>19</v>
      </c>
    </row>
    <row r="19" spans="1:13" x14ac:dyDescent="0.3">
      <c r="A19" s="8" t="s">
        <v>61</v>
      </c>
      <c r="B19" s="8">
        <v>2023</v>
      </c>
      <c r="C19" s="9" t="s">
        <v>42</v>
      </c>
      <c r="D19" s="9" t="s">
        <v>28</v>
      </c>
      <c r="E19" s="9" t="s">
        <v>34</v>
      </c>
      <c r="F19" s="9" t="s">
        <v>62</v>
      </c>
      <c r="G19" s="10">
        <v>44279.68</v>
      </c>
      <c r="H19" s="10">
        <v>40109.08</v>
      </c>
      <c r="I19" s="9" t="s">
        <v>31</v>
      </c>
      <c r="J19" s="8">
        <v>37</v>
      </c>
      <c r="K19" s="8">
        <v>47</v>
      </c>
      <c r="L19" s="10">
        <v>-4170.6000000000004</v>
      </c>
      <c r="M19" s="11" t="s">
        <v>36</v>
      </c>
    </row>
    <row r="20" spans="1:13" x14ac:dyDescent="0.3">
      <c r="A20" s="2" t="s">
        <v>63</v>
      </c>
      <c r="B20" s="2">
        <v>2024</v>
      </c>
      <c r="C20" s="3" t="s">
        <v>21</v>
      </c>
      <c r="D20" s="3" t="s">
        <v>28</v>
      </c>
      <c r="E20" s="3" t="s">
        <v>29</v>
      </c>
      <c r="F20" s="3" t="s">
        <v>35</v>
      </c>
      <c r="G20" s="4">
        <v>121081.08</v>
      </c>
      <c r="H20" s="4">
        <v>122151.82</v>
      </c>
      <c r="I20" s="3" t="s">
        <v>31</v>
      </c>
      <c r="J20" s="2">
        <v>18</v>
      </c>
      <c r="K20" s="2">
        <v>21</v>
      </c>
      <c r="L20" s="4">
        <v>1070.74</v>
      </c>
      <c r="M20" s="3" t="s">
        <v>19</v>
      </c>
    </row>
    <row r="21" spans="1:13" x14ac:dyDescent="0.3">
      <c r="A21" s="8" t="s">
        <v>64</v>
      </c>
      <c r="B21" s="8">
        <v>2023</v>
      </c>
      <c r="C21" s="9" t="s">
        <v>42</v>
      </c>
      <c r="D21" s="9" t="s">
        <v>28</v>
      </c>
      <c r="E21" s="9" t="s">
        <v>52</v>
      </c>
      <c r="F21" s="9" t="s">
        <v>65</v>
      </c>
      <c r="G21" s="10">
        <v>46061.75</v>
      </c>
      <c r="H21" s="10">
        <v>39375.32</v>
      </c>
      <c r="I21" s="9" t="s">
        <v>31</v>
      </c>
      <c r="J21" s="8">
        <v>54</v>
      </c>
      <c r="K21" s="8">
        <v>68</v>
      </c>
      <c r="L21" s="10">
        <v>-6686.43</v>
      </c>
      <c r="M21" s="11" t="s">
        <v>36</v>
      </c>
    </row>
    <row r="22" spans="1:13" x14ac:dyDescent="0.3">
      <c r="A22" s="2" t="s">
        <v>66</v>
      </c>
      <c r="B22" s="2">
        <v>2022</v>
      </c>
      <c r="C22" s="3" t="s">
        <v>14</v>
      </c>
      <c r="D22" s="3" t="s">
        <v>22</v>
      </c>
      <c r="E22" s="3" t="s">
        <v>67</v>
      </c>
      <c r="F22" s="3" t="s">
        <v>68</v>
      </c>
      <c r="G22" s="4">
        <v>1354.5</v>
      </c>
      <c r="H22" s="4">
        <v>625.38</v>
      </c>
      <c r="I22" s="3" t="s">
        <v>25</v>
      </c>
      <c r="J22" s="2">
        <v>27</v>
      </c>
      <c r="K22" s="2">
        <v>27</v>
      </c>
      <c r="L22" s="4">
        <v>-729.12</v>
      </c>
      <c r="M22" s="3" t="s">
        <v>19</v>
      </c>
    </row>
    <row r="23" spans="1:13" x14ac:dyDescent="0.3">
      <c r="A23" s="5" t="s">
        <v>69</v>
      </c>
      <c r="B23" s="5">
        <v>2024</v>
      </c>
      <c r="C23" s="6" t="s">
        <v>14</v>
      </c>
      <c r="D23" s="6" t="s">
        <v>15</v>
      </c>
      <c r="E23" s="6" t="s">
        <v>54</v>
      </c>
      <c r="F23" s="6" t="s">
        <v>62</v>
      </c>
      <c r="G23" s="7">
        <v>3828.64</v>
      </c>
      <c r="H23" s="7">
        <v>503.66</v>
      </c>
      <c r="I23" s="6" t="s">
        <v>18</v>
      </c>
      <c r="J23" s="5">
        <v>17</v>
      </c>
      <c r="K23" s="5">
        <v>17</v>
      </c>
      <c r="L23" s="7">
        <v>-3324.98</v>
      </c>
      <c r="M23" s="6" t="s">
        <v>19</v>
      </c>
    </row>
    <row r="24" spans="1:13" x14ac:dyDescent="0.3">
      <c r="A24" s="2" t="s">
        <v>70</v>
      </c>
      <c r="B24" s="2">
        <v>2023</v>
      </c>
      <c r="C24" s="3" t="s">
        <v>42</v>
      </c>
      <c r="D24" s="3" t="s">
        <v>45</v>
      </c>
      <c r="E24" s="3" t="s">
        <v>54</v>
      </c>
      <c r="F24" s="3" t="s">
        <v>65</v>
      </c>
      <c r="G24" s="4">
        <v>33909.949999999997</v>
      </c>
      <c r="H24" s="4">
        <v>21555.53</v>
      </c>
      <c r="I24" s="3" t="s">
        <v>25</v>
      </c>
      <c r="J24" s="2">
        <v>90</v>
      </c>
      <c r="K24" s="2">
        <v>90</v>
      </c>
      <c r="L24" s="4">
        <v>-12354.42</v>
      </c>
      <c r="M24" s="3" t="s">
        <v>19</v>
      </c>
    </row>
    <row r="25" spans="1:13" x14ac:dyDescent="0.3">
      <c r="A25" s="5" t="s">
        <v>71</v>
      </c>
      <c r="B25" s="5">
        <v>2024</v>
      </c>
      <c r="C25" s="6" t="s">
        <v>21</v>
      </c>
      <c r="D25" s="6" t="s">
        <v>22</v>
      </c>
      <c r="E25" s="6" t="s">
        <v>67</v>
      </c>
      <c r="F25" s="6" t="s">
        <v>38</v>
      </c>
      <c r="G25" s="7">
        <v>89260.64</v>
      </c>
      <c r="H25" s="7">
        <v>85573.73</v>
      </c>
      <c r="I25" s="6" t="s">
        <v>31</v>
      </c>
      <c r="J25" s="5">
        <v>102</v>
      </c>
      <c r="K25" s="5">
        <v>101</v>
      </c>
      <c r="L25" s="7">
        <v>-3686.91</v>
      </c>
      <c r="M25" s="6" t="s">
        <v>19</v>
      </c>
    </row>
    <row r="26" spans="1:13" x14ac:dyDescent="0.3">
      <c r="A26" s="2" t="s">
        <v>72</v>
      </c>
      <c r="B26" s="2">
        <v>2022</v>
      </c>
      <c r="C26" s="3" t="s">
        <v>27</v>
      </c>
      <c r="D26" s="3" t="s">
        <v>33</v>
      </c>
      <c r="E26" s="3" t="s">
        <v>34</v>
      </c>
      <c r="F26" s="3" t="s">
        <v>73</v>
      </c>
      <c r="G26" s="4">
        <v>264709.06</v>
      </c>
      <c r="H26" s="4">
        <v>277552.17</v>
      </c>
      <c r="I26" s="3" t="s">
        <v>31</v>
      </c>
      <c r="J26" s="2">
        <v>164</v>
      </c>
      <c r="K26" s="2">
        <v>138</v>
      </c>
      <c r="L26" s="4">
        <v>12843.11</v>
      </c>
      <c r="M26" s="3" t="s">
        <v>19</v>
      </c>
    </row>
    <row r="27" spans="1:13" x14ac:dyDescent="0.3">
      <c r="A27" s="5" t="s">
        <v>74</v>
      </c>
      <c r="B27" s="5">
        <v>2022</v>
      </c>
      <c r="C27" s="6" t="s">
        <v>14</v>
      </c>
      <c r="D27" s="6" t="s">
        <v>22</v>
      </c>
      <c r="E27" s="6" t="s">
        <v>67</v>
      </c>
      <c r="F27" s="6" t="s">
        <v>38</v>
      </c>
      <c r="G27" s="7">
        <v>1369.09</v>
      </c>
      <c r="H27" s="7">
        <v>1243.77</v>
      </c>
      <c r="I27" s="6" t="s">
        <v>31</v>
      </c>
      <c r="J27" s="5">
        <v>22</v>
      </c>
      <c r="K27" s="5">
        <v>19</v>
      </c>
      <c r="L27" s="7">
        <v>-125.32</v>
      </c>
      <c r="M27" s="6" t="s">
        <v>19</v>
      </c>
    </row>
    <row r="28" spans="1:13" x14ac:dyDescent="0.3">
      <c r="A28" s="2" t="s">
        <v>75</v>
      </c>
      <c r="B28" s="2">
        <v>2022</v>
      </c>
      <c r="C28" s="3" t="s">
        <v>21</v>
      </c>
      <c r="D28" s="3" t="s">
        <v>45</v>
      </c>
      <c r="E28" s="3" t="s">
        <v>23</v>
      </c>
      <c r="F28" s="3" t="s">
        <v>76</v>
      </c>
      <c r="G28" s="4">
        <v>77140.75</v>
      </c>
      <c r="H28" s="4">
        <v>67690.86</v>
      </c>
      <c r="I28" s="3" t="s">
        <v>31</v>
      </c>
      <c r="J28" s="2">
        <v>68</v>
      </c>
      <c r="K28" s="2">
        <v>58</v>
      </c>
      <c r="L28" s="4">
        <v>-9449.89</v>
      </c>
      <c r="M28" s="3" t="s">
        <v>19</v>
      </c>
    </row>
    <row r="29" spans="1:13" x14ac:dyDescent="0.3">
      <c r="A29" s="5" t="s">
        <v>77</v>
      </c>
      <c r="B29" s="5">
        <v>2022</v>
      </c>
      <c r="C29" s="6" t="s">
        <v>21</v>
      </c>
      <c r="D29" s="6" t="s">
        <v>22</v>
      </c>
      <c r="E29" s="6" t="s">
        <v>16</v>
      </c>
      <c r="F29" s="6" t="s">
        <v>78</v>
      </c>
      <c r="G29" s="7">
        <v>102450.79</v>
      </c>
      <c r="H29" s="7">
        <v>29773.24</v>
      </c>
      <c r="I29" s="6" t="s">
        <v>25</v>
      </c>
      <c r="J29" s="5">
        <v>78</v>
      </c>
      <c r="K29" s="5">
        <v>78</v>
      </c>
      <c r="L29" s="7">
        <v>-72677.55</v>
      </c>
      <c r="M29" s="6" t="s">
        <v>19</v>
      </c>
    </row>
    <row r="30" spans="1:13" x14ac:dyDescent="0.3">
      <c r="A30" s="2" t="s">
        <v>79</v>
      </c>
      <c r="B30" s="2">
        <v>2023</v>
      </c>
      <c r="C30" s="3" t="s">
        <v>21</v>
      </c>
      <c r="D30" s="3" t="s">
        <v>33</v>
      </c>
      <c r="E30" s="3" t="s">
        <v>67</v>
      </c>
      <c r="F30" s="3" t="s">
        <v>68</v>
      </c>
      <c r="G30" s="4">
        <v>84233.7</v>
      </c>
      <c r="H30" s="4">
        <v>21447.29</v>
      </c>
      <c r="I30" s="3" t="s">
        <v>25</v>
      </c>
      <c r="J30" s="2">
        <v>50</v>
      </c>
      <c r="K30" s="2">
        <v>50</v>
      </c>
      <c r="L30" s="4">
        <v>-62786.41</v>
      </c>
      <c r="M30" s="3" t="s">
        <v>19</v>
      </c>
    </row>
    <row r="31" spans="1:13" x14ac:dyDescent="0.3">
      <c r="A31" s="5" t="s">
        <v>80</v>
      </c>
      <c r="B31" s="5">
        <v>2022</v>
      </c>
      <c r="C31" s="6" t="s">
        <v>14</v>
      </c>
      <c r="D31" s="6" t="s">
        <v>15</v>
      </c>
      <c r="E31" s="6" t="s">
        <v>16</v>
      </c>
      <c r="F31" s="6" t="s">
        <v>68</v>
      </c>
      <c r="G31" s="7">
        <v>3427.93</v>
      </c>
      <c r="H31" s="7">
        <v>897.46</v>
      </c>
      <c r="I31" s="6" t="s">
        <v>18</v>
      </c>
      <c r="J31" s="5">
        <v>19</v>
      </c>
      <c r="K31" s="5">
        <v>19</v>
      </c>
      <c r="L31" s="7">
        <v>-2530.4699999999998</v>
      </c>
      <c r="M31" s="6" t="s">
        <v>19</v>
      </c>
    </row>
    <row r="32" spans="1:13" x14ac:dyDescent="0.3">
      <c r="A32" s="2" t="s">
        <v>81</v>
      </c>
      <c r="B32" s="2">
        <v>2022</v>
      </c>
      <c r="C32" s="3" t="s">
        <v>42</v>
      </c>
      <c r="D32" s="3" t="s">
        <v>28</v>
      </c>
      <c r="E32" s="3" t="s">
        <v>54</v>
      </c>
      <c r="F32" s="3" t="s">
        <v>82</v>
      </c>
      <c r="G32" s="4">
        <v>9619.18</v>
      </c>
      <c r="H32" s="4">
        <v>3272</v>
      </c>
      <c r="I32" s="3" t="s">
        <v>25</v>
      </c>
      <c r="J32" s="2">
        <v>79</v>
      </c>
      <c r="K32" s="2">
        <v>79</v>
      </c>
      <c r="L32" s="4">
        <v>-6347.18</v>
      </c>
      <c r="M32" s="3" t="s">
        <v>19</v>
      </c>
    </row>
    <row r="33" spans="1:13" x14ac:dyDescent="0.3">
      <c r="A33" s="5" t="s">
        <v>83</v>
      </c>
      <c r="B33" s="5">
        <v>2022</v>
      </c>
      <c r="C33" s="6" t="s">
        <v>42</v>
      </c>
      <c r="D33" s="6" t="s">
        <v>15</v>
      </c>
      <c r="E33" s="6" t="s">
        <v>23</v>
      </c>
      <c r="F33" s="6" t="s">
        <v>35</v>
      </c>
      <c r="G33" s="7">
        <v>62241.49</v>
      </c>
      <c r="H33" s="7">
        <v>56358.13</v>
      </c>
      <c r="I33" s="6" t="s">
        <v>31</v>
      </c>
      <c r="J33" s="5">
        <v>53</v>
      </c>
      <c r="K33" s="5">
        <v>43</v>
      </c>
      <c r="L33" s="7">
        <v>-5883.36</v>
      </c>
      <c r="M33" s="6" t="s">
        <v>19</v>
      </c>
    </row>
    <row r="34" spans="1:13" x14ac:dyDescent="0.3">
      <c r="A34" s="2" t="s">
        <v>84</v>
      </c>
      <c r="B34" s="2">
        <v>2023</v>
      </c>
      <c r="C34" s="3" t="s">
        <v>42</v>
      </c>
      <c r="D34" s="3" t="s">
        <v>45</v>
      </c>
      <c r="E34" s="3" t="s">
        <v>34</v>
      </c>
      <c r="F34" s="3" t="s">
        <v>59</v>
      </c>
      <c r="G34" s="4">
        <v>43496.15</v>
      </c>
      <c r="H34" s="4">
        <v>40079.72</v>
      </c>
      <c r="I34" s="3" t="s">
        <v>31</v>
      </c>
      <c r="J34" s="2">
        <v>26</v>
      </c>
      <c r="K34" s="2">
        <v>32</v>
      </c>
      <c r="L34" s="4">
        <v>-3416.43</v>
      </c>
      <c r="M34" s="3" t="s">
        <v>19</v>
      </c>
    </row>
    <row r="35" spans="1:13" x14ac:dyDescent="0.3">
      <c r="A35" s="5" t="s">
        <v>85</v>
      </c>
      <c r="B35" s="5">
        <v>2022</v>
      </c>
      <c r="C35" s="6" t="s">
        <v>14</v>
      </c>
      <c r="D35" s="6" t="s">
        <v>33</v>
      </c>
      <c r="E35" s="6" t="s">
        <v>29</v>
      </c>
      <c r="F35" s="6" t="s">
        <v>68</v>
      </c>
      <c r="G35" s="7">
        <v>3922.83</v>
      </c>
      <c r="H35" s="7">
        <v>3884.39</v>
      </c>
      <c r="I35" s="6" t="s">
        <v>31</v>
      </c>
      <c r="J35" s="5">
        <v>22</v>
      </c>
      <c r="K35" s="5">
        <v>18</v>
      </c>
      <c r="L35" s="7">
        <v>-38.44</v>
      </c>
      <c r="M35" s="6" t="s">
        <v>19</v>
      </c>
    </row>
    <row r="36" spans="1:13" x14ac:dyDescent="0.3">
      <c r="A36" s="2" t="s">
        <v>86</v>
      </c>
      <c r="B36" s="2">
        <v>2022</v>
      </c>
      <c r="C36" s="3" t="s">
        <v>14</v>
      </c>
      <c r="D36" s="3" t="s">
        <v>28</v>
      </c>
      <c r="E36" s="3" t="s">
        <v>23</v>
      </c>
      <c r="F36" s="3" t="s">
        <v>65</v>
      </c>
      <c r="G36" s="4">
        <v>2081.36</v>
      </c>
      <c r="H36" s="4">
        <v>486.7</v>
      </c>
      <c r="I36" s="3" t="s">
        <v>25</v>
      </c>
      <c r="J36" s="2">
        <v>27</v>
      </c>
      <c r="K36" s="2">
        <v>27</v>
      </c>
      <c r="L36" s="4">
        <v>-1594.66</v>
      </c>
      <c r="M36" s="3" t="s">
        <v>19</v>
      </c>
    </row>
    <row r="37" spans="1:13" x14ac:dyDescent="0.3">
      <c r="A37" s="5" t="s">
        <v>87</v>
      </c>
      <c r="B37" s="5">
        <v>2022</v>
      </c>
      <c r="C37" s="6" t="s">
        <v>21</v>
      </c>
      <c r="D37" s="6" t="s">
        <v>28</v>
      </c>
      <c r="E37" s="6" t="s">
        <v>29</v>
      </c>
      <c r="F37" s="6" t="s">
        <v>65</v>
      </c>
      <c r="G37" s="7">
        <v>91754.09</v>
      </c>
      <c r="H37" s="7">
        <v>20374.669999999998</v>
      </c>
      <c r="I37" s="6" t="s">
        <v>25</v>
      </c>
      <c r="J37" s="5">
        <v>62</v>
      </c>
      <c r="K37" s="5">
        <v>62</v>
      </c>
      <c r="L37" s="7">
        <v>-71379.42</v>
      </c>
      <c r="M37" s="6" t="s">
        <v>19</v>
      </c>
    </row>
    <row r="38" spans="1:13" x14ac:dyDescent="0.3">
      <c r="A38" s="2" t="s">
        <v>88</v>
      </c>
      <c r="B38" s="2">
        <v>2023</v>
      </c>
      <c r="C38" s="3" t="s">
        <v>21</v>
      </c>
      <c r="D38" s="3" t="s">
        <v>22</v>
      </c>
      <c r="E38" s="3" t="s">
        <v>54</v>
      </c>
      <c r="F38" s="3" t="s">
        <v>82</v>
      </c>
      <c r="G38" s="4">
        <v>39006.43</v>
      </c>
      <c r="H38" s="4">
        <v>35418.199999999997</v>
      </c>
      <c r="I38" s="3" t="s">
        <v>31</v>
      </c>
      <c r="J38" s="2">
        <v>71</v>
      </c>
      <c r="K38" s="2">
        <v>64</v>
      </c>
      <c r="L38" s="4">
        <v>-3588.23</v>
      </c>
      <c r="M38" s="3" t="s">
        <v>19</v>
      </c>
    </row>
    <row r="39" spans="1:13" x14ac:dyDescent="0.3">
      <c r="A39" s="5" t="s">
        <v>89</v>
      </c>
      <c r="B39" s="5">
        <v>2023</v>
      </c>
      <c r="C39" s="6" t="s">
        <v>27</v>
      </c>
      <c r="D39" s="6" t="s">
        <v>33</v>
      </c>
      <c r="E39" s="6" t="s">
        <v>52</v>
      </c>
      <c r="F39" s="6" t="s">
        <v>90</v>
      </c>
      <c r="G39" s="7">
        <v>61260.38</v>
      </c>
      <c r="H39" s="7">
        <v>62685.53</v>
      </c>
      <c r="I39" s="6" t="s">
        <v>31</v>
      </c>
      <c r="J39" s="5">
        <v>356</v>
      </c>
      <c r="K39" s="5">
        <v>295</v>
      </c>
      <c r="L39" s="7">
        <v>1425.15</v>
      </c>
      <c r="M39" s="6" t="s">
        <v>19</v>
      </c>
    </row>
    <row r="40" spans="1:13" x14ac:dyDescent="0.3">
      <c r="A40" s="2" t="s">
        <v>91</v>
      </c>
      <c r="B40" s="2">
        <v>2022</v>
      </c>
      <c r="C40" s="3" t="s">
        <v>21</v>
      </c>
      <c r="D40" s="3" t="s">
        <v>28</v>
      </c>
      <c r="E40" s="3" t="s">
        <v>23</v>
      </c>
      <c r="F40" s="3" t="s">
        <v>17</v>
      </c>
      <c r="G40" s="4">
        <v>120541.6</v>
      </c>
      <c r="H40" s="4">
        <v>105436.63</v>
      </c>
      <c r="I40" s="3" t="s">
        <v>31</v>
      </c>
      <c r="J40" s="2">
        <v>54</v>
      </c>
      <c r="K40" s="2">
        <v>65</v>
      </c>
      <c r="L40" s="4">
        <v>-15104.97</v>
      </c>
      <c r="M40" s="3" t="s">
        <v>19</v>
      </c>
    </row>
    <row r="41" spans="1:13" x14ac:dyDescent="0.3">
      <c r="A41" s="5" t="s">
        <v>92</v>
      </c>
      <c r="B41" s="5">
        <v>2022</v>
      </c>
      <c r="C41" s="6" t="s">
        <v>14</v>
      </c>
      <c r="D41" s="6" t="s">
        <v>22</v>
      </c>
      <c r="E41" s="6" t="s">
        <v>16</v>
      </c>
      <c r="F41" s="6" t="s">
        <v>40</v>
      </c>
      <c r="G41" s="7">
        <v>4295.78</v>
      </c>
      <c r="H41" s="7">
        <v>4444.9799999999996</v>
      </c>
      <c r="I41" s="6" t="s">
        <v>31</v>
      </c>
      <c r="J41" s="5">
        <v>28</v>
      </c>
      <c r="K41" s="5">
        <v>30</v>
      </c>
      <c r="L41" s="7">
        <v>149.19999999999999</v>
      </c>
      <c r="M41" s="6" t="s">
        <v>19</v>
      </c>
    </row>
    <row r="42" spans="1:13" x14ac:dyDescent="0.3">
      <c r="A42" s="2" t="s">
        <v>93</v>
      </c>
      <c r="B42" s="2">
        <v>2023</v>
      </c>
      <c r="C42" s="3" t="s">
        <v>21</v>
      </c>
      <c r="D42" s="3" t="s">
        <v>45</v>
      </c>
      <c r="E42" s="3" t="s">
        <v>34</v>
      </c>
      <c r="F42" s="3" t="s">
        <v>73</v>
      </c>
      <c r="G42" s="4">
        <v>104791.03</v>
      </c>
      <c r="H42" s="4">
        <v>100236.74</v>
      </c>
      <c r="I42" s="3" t="s">
        <v>31</v>
      </c>
      <c r="J42" s="2">
        <v>24</v>
      </c>
      <c r="K42" s="2">
        <v>19</v>
      </c>
      <c r="L42" s="4">
        <v>-4554.29</v>
      </c>
      <c r="M42" s="3" t="s">
        <v>19</v>
      </c>
    </row>
    <row r="43" spans="1:13" x14ac:dyDescent="0.3">
      <c r="A43" s="5" t="s">
        <v>94</v>
      </c>
      <c r="B43" s="5">
        <v>2024</v>
      </c>
      <c r="C43" s="6" t="s">
        <v>42</v>
      </c>
      <c r="D43" s="6" t="s">
        <v>28</v>
      </c>
      <c r="E43" s="6" t="s">
        <v>16</v>
      </c>
      <c r="F43" s="6" t="s">
        <v>30</v>
      </c>
      <c r="G43" s="7">
        <v>42771.08</v>
      </c>
      <c r="H43" s="7">
        <v>10517.2</v>
      </c>
      <c r="I43" s="6" t="s">
        <v>25</v>
      </c>
      <c r="J43" s="5">
        <v>57</v>
      </c>
      <c r="K43" s="5">
        <v>57</v>
      </c>
      <c r="L43" s="7">
        <v>-32253.88</v>
      </c>
      <c r="M43" s="6" t="s">
        <v>19</v>
      </c>
    </row>
    <row r="44" spans="1:13" x14ac:dyDescent="0.3">
      <c r="A44" s="2" t="s">
        <v>95</v>
      </c>
      <c r="B44" s="2">
        <v>2022</v>
      </c>
      <c r="C44" s="3" t="s">
        <v>21</v>
      </c>
      <c r="D44" s="3" t="s">
        <v>28</v>
      </c>
      <c r="E44" s="3" t="s">
        <v>54</v>
      </c>
      <c r="F44" s="3" t="s">
        <v>38</v>
      </c>
      <c r="G44" s="4">
        <v>6054.97</v>
      </c>
      <c r="H44" s="4">
        <v>5622.21</v>
      </c>
      <c r="I44" s="3" t="s">
        <v>31</v>
      </c>
      <c r="J44" s="2">
        <v>69</v>
      </c>
      <c r="K44" s="2">
        <v>59</v>
      </c>
      <c r="L44" s="4">
        <v>-432.76</v>
      </c>
      <c r="M44" s="3" t="s">
        <v>19</v>
      </c>
    </row>
    <row r="45" spans="1:13" x14ac:dyDescent="0.3">
      <c r="A45" s="5" t="s">
        <v>96</v>
      </c>
      <c r="B45" s="5">
        <v>2022</v>
      </c>
      <c r="C45" s="6" t="s">
        <v>14</v>
      </c>
      <c r="D45" s="6" t="s">
        <v>15</v>
      </c>
      <c r="E45" s="6" t="s">
        <v>16</v>
      </c>
      <c r="F45" s="6" t="s">
        <v>90</v>
      </c>
      <c r="G45" s="7">
        <v>1486.22</v>
      </c>
      <c r="H45" s="7">
        <v>656.29</v>
      </c>
      <c r="I45" s="6" t="s">
        <v>25</v>
      </c>
      <c r="J45" s="5">
        <v>19</v>
      </c>
      <c r="K45" s="5">
        <v>19</v>
      </c>
      <c r="L45" s="7">
        <v>-829.93</v>
      </c>
      <c r="M45" s="6" t="s">
        <v>19</v>
      </c>
    </row>
    <row r="46" spans="1:13" x14ac:dyDescent="0.3">
      <c r="A46" s="2" t="s">
        <v>97</v>
      </c>
      <c r="B46" s="2">
        <v>2023</v>
      </c>
      <c r="C46" s="3" t="s">
        <v>42</v>
      </c>
      <c r="D46" s="3" t="s">
        <v>22</v>
      </c>
      <c r="E46" s="3" t="s">
        <v>23</v>
      </c>
      <c r="F46" s="3" t="s">
        <v>43</v>
      </c>
      <c r="G46" s="4">
        <v>70591.14</v>
      </c>
      <c r="H46" s="4">
        <v>70436.44</v>
      </c>
      <c r="I46" s="3" t="s">
        <v>31</v>
      </c>
      <c r="J46" s="2">
        <v>44</v>
      </c>
      <c r="K46" s="2">
        <v>55</v>
      </c>
      <c r="L46" s="4">
        <v>-154.69999999999999</v>
      </c>
      <c r="M46" s="3" t="s">
        <v>19</v>
      </c>
    </row>
    <row r="47" spans="1:13" x14ac:dyDescent="0.3">
      <c r="A47" s="5" t="s">
        <v>98</v>
      </c>
      <c r="B47" s="5">
        <v>2023</v>
      </c>
      <c r="C47" s="6" t="s">
        <v>42</v>
      </c>
      <c r="D47" s="6" t="s">
        <v>15</v>
      </c>
      <c r="E47" s="6" t="s">
        <v>52</v>
      </c>
      <c r="F47" s="6" t="s">
        <v>55</v>
      </c>
      <c r="G47" s="7">
        <v>25154.03</v>
      </c>
      <c r="H47" s="7">
        <v>24635.71</v>
      </c>
      <c r="I47" s="6" t="s">
        <v>31</v>
      </c>
      <c r="J47" s="5">
        <v>77</v>
      </c>
      <c r="K47" s="5">
        <v>84</v>
      </c>
      <c r="L47" s="7">
        <v>-518.32000000000005</v>
      </c>
      <c r="M47" s="6" t="s">
        <v>19</v>
      </c>
    </row>
    <row r="48" spans="1:13" x14ac:dyDescent="0.3">
      <c r="A48" s="2" t="s">
        <v>99</v>
      </c>
      <c r="B48" s="2">
        <v>2023</v>
      </c>
      <c r="C48" s="3" t="s">
        <v>42</v>
      </c>
      <c r="D48" s="3" t="s">
        <v>22</v>
      </c>
      <c r="E48" s="3" t="s">
        <v>16</v>
      </c>
      <c r="F48" s="3" t="s">
        <v>46</v>
      </c>
      <c r="G48" s="4">
        <v>39333.629999999997</v>
      </c>
      <c r="H48" s="4">
        <v>17834.759999999998</v>
      </c>
      <c r="I48" s="3" t="s">
        <v>25</v>
      </c>
      <c r="J48" s="2">
        <v>66</v>
      </c>
      <c r="K48" s="2">
        <v>66</v>
      </c>
      <c r="L48" s="4">
        <v>-21498.87</v>
      </c>
      <c r="M48" s="3" t="s">
        <v>19</v>
      </c>
    </row>
    <row r="49" spans="1:13" x14ac:dyDescent="0.3">
      <c r="A49" s="5" t="s">
        <v>100</v>
      </c>
      <c r="B49" s="5">
        <v>2022</v>
      </c>
      <c r="C49" s="6" t="s">
        <v>42</v>
      </c>
      <c r="D49" s="6" t="s">
        <v>22</v>
      </c>
      <c r="E49" s="6" t="s">
        <v>67</v>
      </c>
      <c r="F49" s="6" t="s">
        <v>46</v>
      </c>
      <c r="G49" s="7">
        <v>37982.129999999997</v>
      </c>
      <c r="H49" s="7">
        <v>38247.5</v>
      </c>
      <c r="I49" s="6" t="s">
        <v>31</v>
      </c>
      <c r="J49" s="5">
        <v>42</v>
      </c>
      <c r="K49" s="5">
        <v>38</v>
      </c>
      <c r="L49" s="7">
        <v>265.37</v>
      </c>
      <c r="M49" s="6" t="s">
        <v>19</v>
      </c>
    </row>
    <row r="50" spans="1:13" x14ac:dyDescent="0.3">
      <c r="A50" s="2" t="s">
        <v>101</v>
      </c>
      <c r="B50" s="2">
        <v>2024</v>
      </c>
      <c r="C50" s="3" t="s">
        <v>42</v>
      </c>
      <c r="D50" s="3" t="s">
        <v>45</v>
      </c>
      <c r="E50" s="3" t="s">
        <v>34</v>
      </c>
      <c r="F50" s="3" t="s">
        <v>82</v>
      </c>
      <c r="G50" s="4">
        <v>11341.73</v>
      </c>
      <c r="H50" s="4">
        <v>10835.43</v>
      </c>
      <c r="I50" s="3" t="s">
        <v>31</v>
      </c>
      <c r="J50" s="2">
        <v>72</v>
      </c>
      <c r="K50" s="2">
        <v>68</v>
      </c>
      <c r="L50" s="4">
        <v>-506.3</v>
      </c>
      <c r="M50" s="3" t="s">
        <v>19</v>
      </c>
    </row>
    <row r="51" spans="1:13" x14ac:dyDescent="0.3">
      <c r="A51" s="5" t="s">
        <v>102</v>
      </c>
      <c r="B51" s="5">
        <v>2023</v>
      </c>
      <c r="C51" s="6" t="s">
        <v>21</v>
      </c>
      <c r="D51" s="6" t="s">
        <v>33</v>
      </c>
      <c r="E51" s="6" t="s">
        <v>23</v>
      </c>
      <c r="F51" s="6" t="s">
        <v>24</v>
      </c>
      <c r="G51" s="7">
        <v>110255.53</v>
      </c>
      <c r="H51" s="7">
        <v>110706.15</v>
      </c>
      <c r="I51" s="6" t="s">
        <v>31</v>
      </c>
      <c r="J51" s="5">
        <v>70</v>
      </c>
      <c r="K51" s="5">
        <v>69</v>
      </c>
      <c r="L51" s="7">
        <v>450.62</v>
      </c>
      <c r="M51" s="6" t="s">
        <v>19</v>
      </c>
    </row>
    <row r="52" spans="1:13" x14ac:dyDescent="0.3">
      <c r="A52" s="2" t="s">
        <v>103</v>
      </c>
      <c r="B52" s="2">
        <v>2023</v>
      </c>
      <c r="C52" s="3" t="s">
        <v>42</v>
      </c>
      <c r="D52" s="3" t="s">
        <v>33</v>
      </c>
      <c r="E52" s="3" t="s">
        <v>54</v>
      </c>
      <c r="F52" s="3" t="s">
        <v>76</v>
      </c>
      <c r="G52" s="4">
        <v>19113.66</v>
      </c>
      <c r="H52" s="4">
        <v>13294.87</v>
      </c>
      <c r="I52" s="3" t="s">
        <v>25</v>
      </c>
      <c r="J52" s="2">
        <v>18</v>
      </c>
      <c r="K52" s="2">
        <v>18</v>
      </c>
      <c r="L52" s="4">
        <v>-5818.79</v>
      </c>
      <c r="M52" s="3" t="s">
        <v>19</v>
      </c>
    </row>
    <row r="53" spans="1:13" x14ac:dyDescent="0.3">
      <c r="A53" s="5" t="s">
        <v>104</v>
      </c>
      <c r="B53" s="5">
        <v>2022</v>
      </c>
      <c r="C53" s="6" t="s">
        <v>42</v>
      </c>
      <c r="D53" s="6" t="s">
        <v>22</v>
      </c>
      <c r="E53" s="6" t="s">
        <v>29</v>
      </c>
      <c r="F53" s="6" t="s">
        <v>78</v>
      </c>
      <c r="G53" s="7">
        <v>25022.67</v>
      </c>
      <c r="H53" s="7">
        <v>244.3</v>
      </c>
      <c r="I53" s="6" t="s">
        <v>18</v>
      </c>
      <c r="J53" s="5">
        <v>90</v>
      </c>
      <c r="K53" s="5">
        <v>90</v>
      </c>
      <c r="L53" s="7">
        <v>-24778.37</v>
      </c>
      <c r="M53" s="6" t="s">
        <v>19</v>
      </c>
    </row>
    <row r="54" spans="1:13" x14ac:dyDescent="0.3">
      <c r="A54" s="2" t="s">
        <v>105</v>
      </c>
      <c r="B54" s="2">
        <v>2022</v>
      </c>
      <c r="C54" s="3" t="s">
        <v>42</v>
      </c>
      <c r="D54" s="3" t="s">
        <v>28</v>
      </c>
      <c r="E54" s="3" t="s">
        <v>16</v>
      </c>
      <c r="F54" s="3" t="s">
        <v>40</v>
      </c>
      <c r="G54" s="4">
        <v>38476.82</v>
      </c>
      <c r="H54" s="4">
        <v>13018.87</v>
      </c>
      <c r="I54" s="3" t="s">
        <v>25</v>
      </c>
      <c r="J54" s="2">
        <v>19</v>
      </c>
      <c r="K54" s="2">
        <v>19</v>
      </c>
      <c r="L54" s="4">
        <v>-25457.95</v>
      </c>
      <c r="M54" s="3" t="s">
        <v>19</v>
      </c>
    </row>
    <row r="55" spans="1:13" x14ac:dyDescent="0.3">
      <c r="A55" s="5" t="s">
        <v>106</v>
      </c>
      <c r="B55" s="5">
        <v>2022</v>
      </c>
      <c r="C55" s="6" t="s">
        <v>14</v>
      </c>
      <c r="D55" s="6" t="s">
        <v>45</v>
      </c>
      <c r="E55" s="6" t="s">
        <v>34</v>
      </c>
      <c r="F55" s="6" t="s">
        <v>38</v>
      </c>
      <c r="G55" s="7">
        <v>864.27</v>
      </c>
      <c r="H55" s="7">
        <v>855.15</v>
      </c>
      <c r="I55" s="6" t="s">
        <v>31</v>
      </c>
      <c r="J55" s="5">
        <v>29</v>
      </c>
      <c r="K55" s="5">
        <v>31</v>
      </c>
      <c r="L55" s="7">
        <v>-9.1199999999999992</v>
      </c>
      <c r="M55" s="6" t="s">
        <v>19</v>
      </c>
    </row>
    <row r="56" spans="1:13" x14ac:dyDescent="0.3">
      <c r="A56" s="2" t="s">
        <v>107</v>
      </c>
      <c r="B56" s="2">
        <v>2022</v>
      </c>
      <c r="C56" s="3" t="s">
        <v>42</v>
      </c>
      <c r="D56" s="3" t="s">
        <v>33</v>
      </c>
      <c r="E56" s="3" t="s">
        <v>16</v>
      </c>
      <c r="F56" s="3" t="s">
        <v>46</v>
      </c>
      <c r="G56" s="4">
        <v>7265.24</v>
      </c>
      <c r="H56" s="4">
        <v>7229.85</v>
      </c>
      <c r="I56" s="3" t="s">
        <v>31</v>
      </c>
      <c r="J56" s="2">
        <v>77</v>
      </c>
      <c r="K56" s="2">
        <v>79</v>
      </c>
      <c r="L56" s="4">
        <v>-35.39</v>
      </c>
      <c r="M56" s="3" t="s">
        <v>19</v>
      </c>
    </row>
    <row r="57" spans="1:13" x14ac:dyDescent="0.3">
      <c r="A57" s="5" t="s">
        <v>108</v>
      </c>
      <c r="B57" s="5">
        <v>2022</v>
      </c>
      <c r="C57" s="6" t="s">
        <v>14</v>
      </c>
      <c r="D57" s="6" t="s">
        <v>15</v>
      </c>
      <c r="E57" s="6" t="s">
        <v>54</v>
      </c>
      <c r="F57" s="6" t="s">
        <v>43</v>
      </c>
      <c r="G57" s="7">
        <v>4259.41</v>
      </c>
      <c r="H57" s="7">
        <v>1293.19</v>
      </c>
      <c r="I57" s="6" t="s">
        <v>25</v>
      </c>
      <c r="J57" s="5">
        <v>21</v>
      </c>
      <c r="K57" s="5">
        <v>21</v>
      </c>
      <c r="L57" s="7">
        <v>-2966.22</v>
      </c>
      <c r="M57" s="6" t="s">
        <v>19</v>
      </c>
    </row>
    <row r="58" spans="1:13" x14ac:dyDescent="0.3">
      <c r="A58" s="2" t="s">
        <v>109</v>
      </c>
      <c r="B58" s="2">
        <v>2024</v>
      </c>
      <c r="C58" s="3" t="s">
        <v>14</v>
      </c>
      <c r="D58" s="3" t="s">
        <v>33</v>
      </c>
      <c r="E58" s="3" t="s">
        <v>67</v>
      </c>
      <c r="F58" s="3" t="s">
        <v>30</v>
      </c>
      <c r="G58" s="4">
        <v>3290.8</v>
      </c>
      <c r="H58" s="4">
        <v>2828.22</v>
      </c>
      <c r="I58" s="3" t="s">
        <v>31</v>
      </c>
      <c r="J58" s="2">
        <v>19</v>
      </c>
      <c r="K58" s="2">
        <v>19</v>
      </c>
      <c r="L58" s="4">
        <v>-462.58</v>
      </c>
      <c r="M58" s="3" t="s">
        <v>19</v>
      </c>
    </row>
    <row r="59" spans="1:13" x14ac:dyDescent="0.3">
      <c r="A59" s="5" t="s">
        <v>110</v>
      </c>
      <c r="B59" s="5">
        <v>2022</v>
      </c>
      <c r="C59" s="6" t="s">
        <v>21</v>
      </c>
      <c r="D59" s="6" t="s">
        <v>22</v>
      </c>
      <c r="E59" s="6" t="s">
        <v>52</v>
      </c>
      <c r="F59" s="6" t="s">
        <v>73</v>
      </c>
      <c r="G59" s="7">
        <v>136913.07</v>
      </c>
      <c r="H59" s="7">
        <v>136516.54999999999</v>
      </c>
      <c r="I59" s="6" t="s">
        <v>31</v>
      </c>
      <c r="J59" s="5">
        <v>73</v>
      </c>
      <c r="K59" s="5">
        <v>88</v>
      </c>
      <c r="L59" s="7">
        <v>-396.52</v>
      </c>
      <c r="M59" s="6" t="s">
        <v>19</v>
      </c>
    </row>
    <row r="60" spans="1:13" x14ac:dyDescent="0.3">
      <c r="A60" s="2" t="s">
        <v>111</v>
      </c>
      <c r="B60" s="2">
        <v>2022</v>
      </c>
      <c r="C60" s="3" t="s">
        <v>42</v>
      </c>
      <c r="D60" s="3" t="s">
        <v>28</v>
      </c>
      <c r="E60" s="3" t="s">
        <v>29</v>
      </c>
      <c r="F60" s="3" t="s">
        <v>40</v>
      </c>
      <c r="G60" s="4">
        <v>54883.68</v>
      </c>
      <c r="H60" s="4">
        <v>21594.69</v>
      </c>
      <c r="I60" s="3" t="s">
        <v>18</v>
      </c>
      <c r="J60" s="2">
        <v>44</v>
      </c>
      <c r="K60" s="2">
        <v>44</v>
      </c>
      <c r="L60" s="4">
        <v>-33288.99</v>
      </c>
      <c r="M60" s="3" t="s">
        <v>19</v>
      </c>
    </row>
    <row r="61" spans="1:13" x14ac:dyDescent="0.3">
      <c r="A61" s="5" t="s">
        <v>112</v>
      </c>
      <c r="B61" s="5">
        <v>2022</v>
      </c>
      <c r="C61" s="6" t="s">
        <v>42</v>
      </c>
      <c r="D61" s="6" t="s">
        <v>33</v>
      </c>
      <c r="E61" s="6" t="s">
        <v>16</v>
      </c>
      <c r="F61" s="6" t="s">
        <v>46</v>
      </c>
      <c r="G61" s="7">
        <v>15429.27</v>
      </c>
      <c r="H61" s="7">
        <v>3618.12</v>
      </c>
      <c r="I61" s="6" t="s">
        <v>18</v>
      </c>
      <c r="J61" s="5">
        <v>76</v>
      </c>
      <c r="K61" s="5">
        <v>76</v>
      </c>
      <c r="L61" s="7">
        <v>-11811.15</v>
      </c>
      <c r="M61" s="6" t="s">
        <v>19</v>
      </c>
    </row>
    <row r="62" spans="1:13" x14ac:dyDescent="0.3">
      <c r="A62" s="2" t="s">
        <v>113</v>
      </c>
      <c r="B62" s="2">
        <v>2023</v>
      </c>
      <c r="C62" s="3" t="s">
        <v>27</v>
      </c>
      <c r="D62" s="3" t="s">
        <v>22</v>
      </c>
      <c r="E62" s="3" t="s">
        <v>23</v>
      </c>
      <c r="F62" s="3" t="s">
        <v>17</v>
      </c>
      <c r="G62" s="4">
        <v>294310.61</v>
      </c>
      <c r="H62" s="4">
        <v>221353.8</v>
      </c>
      <c r="I62" s="3" t="s">
        <v>25</v>
      </c>
      <c r="J62" s="2">
        <v>310</v>
      </c>
      <c r="K62" s="2">
        <v>310</v>
      </c>
      <c r="L62" s="4">
        <v>-72956.81</v>
      </c>
      <c r="M62" s="3" t="s">
        <v>19</v>
      </c>
    </row>
    <row r="63" spans="1:13" x14ac:dyDescent="0.3">
      <c r="A63" s="5" t="s">
        <v>114</v>
      </c>
      <c r="B63" s="5">
        <v>2022</v>
      </c>
      <c r="C63" s="6" t="s">
        <v>14</v>
      </c>
      <c r="D63" s="6" t="s">
        <v>15</v>
      </c>
      <c r="E63" s="6" t="s">
        <v>54</v>
      </c>
      <c r="F63" s="6" t="s">
        <v>115</v>
      </c>
      <c r="G63" s="7">
        <v>3377.56</v>
      </c>
      <c r="H63" s="7">
        <v>3053.95</v>
      </c>
      <c r="I63" s="6" t="s">
        <v>31</v>
      </c>
      <c r="J63" s="5">
        <v>20</v>
      </c>
      <c r="K63" s="5">
        <v>22</v>
      </c>
      <c r="L63" s="7">
        <v>-323.61</v>
      </c>
      <c r="M63" s="6" t="s">
        <v>19</v>
      </c>
    </row>
    <row r="64" spans="1:13" x14ac:dyDescent="0.3">
      <c r="A64" s="2" t="s">
        <v>116</v>
      </c>
      <c r="B64" s="2">
        <v>2023</v>
      </c>
      <c r="C64" s="3" t="s">
        <v>42</v>
      </c>
      <c r="D64" s="3" t="s">
        <v>15</v>
      </c>
      <c r="E64" s="3" t="s">
        <v>16</v>
      </c>
      <c r="F64" s="3" t="s">
        <v>40</v>
      </c>
      <c r="G64" s="4">
        <v>14546.9</v>
      </c>
      <c r="H64" s="4">
        <v>2618.9</v>
      </c>
      <c r="I64" s="3" t="s">
        <v>18</v>
      </c>
      <c r="J64" s="2">
        <v>76</v>
      </c>
      <c r="K64" s="2">
        <v>76</v>
      </c>
      <c r="L64" s="4">
        <v>-11928</v>
      </c>
      <c r="M64" s="3" t="s">
        <v>19</v>
      </c>
    </row>
    <row r="65" spans="1:13" x14ac:dyDescent="0.3">
      <c r="A65" s="5" t="s">
        <v>117</v>
      </c>
      <c r="B65" s="5">
        <v>2022</v>
      </c>
      <c r="C65" s="6" t="s">
        <v>14</v>
      </c>
      <c r="D65" s="6" t="s">
        <v>15</v>
      </c>
      <c r="E65" s="6" t="s">
        <v>29</v>
      </c>
      <c r="F65" s="6" t="s">
        <v>17</v>
      </c>
      <c r="G65" s="7">
        <v>1991.7</v>
      </c>
      <c r="H65" s="7">
        <v>1727.67</v>
      </c>
      <c r="I65" s="6" t="s">
        <v>31</v>
      </c>
      <c r="J65" s="5">
        <v>23</v>
      </c>
      <c r="K65" s="5">
        <v>24</v>
      </c>
      <c r="L65" s="7">
        <v>-264.02999999999997</v>
      </c>
      <c r="M65" s="6" t="s">
        <v>19</v>
      </c>
    </row>
    <row r="66" spans="1:13" x14ac:dyDescent="0.3">
      <c r="A66" s="2" t="s">
        <v>118</v>
      </c>
      <c r="B66" s="2">
        <v>2023</v>
      </c>
      <c r="C66" s="3" t="s">
        <v>27</v>
      </c>
      <c r="D66" s="3" t="s">
        <v>15</v>
      </c>
      <c r="E66" s="3" t="s">
        <v>34</v>
      </c>
      <c r="F66" s="3" t="s">
        <v>76</v>
      </c>
      <c r="G66" s="4">
        <v>438503.97</v>
      </c>
      <c r="H66" s="4">
        <v>96639.66</v>
      </c>
      <c r="I66" s="3" t="s">
        <v>25</v>
      </c>
      <c r="J66" s="2">
        <v>353</v>
      </c>
      <c r="K66" s="2">
        <v>353</v>
      </c>
      <c r="L66" s="4">
        <v>-341864.31</v>
      </c>
      <c r="M66" s="3" t="s">
        <v>19</v>
      </c>
    </row>
    <row r="67" spans="1:13" x14ac:dyDescent="0.3">
      <c r="A67" s="5" t="s">
        <v>119</v>
      </c>
      <c r="B67" s="5">
        <v>2023</v>
      </c>
      <c r="C67" s="6" t="s">
        <v>14</v>
      </c>
      <c r="D67" s="6" t="s">
        <v>45</v>
      </c>
      <c r="E67" s="6" t="s">
        <v>29</v>
      </c>
      <c r="F67" s="6" t="s">
        <v>43</v>
      </c>
      <c r="G67" s="7">
        <v>3896.85</v>
      </c>
      <c r="H67" s="7">
        <v>745.19</v>
      </c>
      <c r="I67" s="6" t="s">
        <v>18</v>
      </c>
      <c r="J67" s="5">
        <v>27</v>
      </c>
      <c r="K67" s="5">
        <v>27</v>
      </c>
      <c r="L67" s="7">
        <v>-3151.66</v>
      </c>
      <c r="M67" s="6" t="s">
        <v>19</v>
      </c>
    </row>
    <row r="68" spans="1:13" x14ac:dyDescent="0.3">
      <c r="A68" s="2" t="s">
        <v>120</v>
      </c>
      <c r="B68" s="2">
        <v>2023</v>
      </c>
      <c r="C68" s="3" t="s">
        <v>14</v>
      </c>
      <c r="D68" s="3" t="s">
        <v>28</v>
      </c>
      <c r="E68" s="3" t="s">
        <v>67</v>
      </c>
      <c r="F68" s="3" t="s">
        <v>65</v>
      </c>
      <c r="G68" s="4">
        <v>1794.35</v>
      </c>
      <c r="H68" s="4">
        <v>1531.77</v>
      </c>
      <c r="I68" s="3" t="s">
        <v>31</v>
      </c>
      <c r="J68" s="2">
        <v>30</v>
      </c>
      <c r="K68" s="2">
        <v>25</v>
      </c>
      <c r="L68" s="4">
        <v>-262.58</v>
      </c>
      <c r="M68" s="3" t="s">
        <v>19</v>
      </c>
    </row>
    <row r="69" spans="1:13" x14ac:dyDescent="0.3">
      <c r="A69" s="5" t="s">
        <v>121</v>
      </c>
      <c r="B69" s="5">
        <v>2023</v>
      </c>
      <c r="C69" s="6" t="s">
        <v>27</v>
      </c>
      <c r="D69" s="6" t="s">
        <v>22</v>
      </c>
      <c r="E69" s="6" t="s">
        <v>34</v>
      </c>
      <c r="F69" s="6" t="s">
        <v>65</v>
      </c>
      <c r="G69" s="7">
        <v>176945.85</v>
      </c>
      <c r="H69" s="7">
        <v>156018.39000000001</v>
      </c>
      <c r="I69" s="6" t="s">
        <v>31</v>
      </c>
      <c r="J69" s="5">
        <v>83</v>
      </c>
      <c r="K69" s="5">
        <v>83</v>
      </c>
      <c r="L69" s="7">
        <v>-20927.46</v>
      </c>
      <c r="M69" s="6" t="s">
        <v>19</v>
      </c>
    </row>
    <row r="70" spans="1:13" x14ac:dyDescent="0.3">
      <c r="A70" s="2" t="s">
        <v>122</v>
      </c>
      <c r="B70" s="2">
        <v>2022</v>
      </c>
      <c r="C70" s="3" t="s">
        <v>14</v>
      </c>
      <c r="D70" s="3" t="s">
        <v>33</v>
      </c>
      <c r="E70" s="3" t="s">
        <v>23</v>
      </c>
      <c r="F70" s="3" t="s">
        <v>78</v>
      </c>
      <c r="G70" s="4">
        <v>904.73</v>
      </c>
      <c r="H70" s="4">
        <v>861.37</v>
      </c>
      <c r="I70" s="3" t="s">
        <v>31</v>
      </c>
      <c r="J70" s="2">
        <v>17</v>
      </c>
      <c r="K70" s="2">
        <v>20</v>
      </c>
      <c r="L70" s="4">
        <v>-43.36</v>
      </c>
      <c r="M70" s="3" t="s">
        <v>19</v>
      </c>
    </row>
    <row r="71" spans="1:13" x14ac:dyDescent="0.3">
      <c r="A71" s="5" t="s">
        <v>123</v>
      </c>
      <c r="B71" s="5">
        <v>2022</v>
      </c>
      <c r="C71" s="6" t="s">
        <v>14</v>
      </c>
      <c r="D71" s="6" t="s">
        <v>33</v>
      </c>
      <c r="E71" s="6" t="s">
        <v>67</v>
      </c>
      <c r="F71" s="6" t="s">
        <v>62</v>
      </c>
      <c r="G71" s="7">
        <v>1119.04</v>
      </c>
      <c r="H71" s="7">
        <v>21.93</v>
      </c>
      <c r="I71" s="6" t="s">
        <v>18</v>
      </c>
      <c r="J71" s="5">
        <v>16</v>
      </c>
      <c r="K71" s="5">
        <v>16</v>
      </c>
      <c r="L71" s="7">
        <v>-1097.1099999999999</v>
      </c>
      <c r="M71" s="6" t="s">
        <v>19</v>
      </c>
    </row>
    <row r="72" spans="1:13" x14ac:dyDescent="0.3">
      <c r="A72" s="2" t="s">
        <v>124</v>
      </c>
      <c r="B72" s="2">
        <v>2023</v>
      </c>
      <c r="C72" s="3" t="s">
        <v>14</v>
      </c>
      <c r="D72" s="3" t="s">
        <v>15</v>
      </c>
      <c r="E72" s="3" t="s">
        <v>23</v>
      </c>
      <c r="F72" s="3" t="s">
        <v>17</v>
      </c>
      <c r="G72" s="4">
        <v>3716.44</v>
      </c>
      <c r="H72" s="4">
        <v>3707.2</v>
      </c>
      <c r="I72" s="3" t="s">
        <v>31</v>
      </c>
      <c r="J72" s="2">
        <v>21</v>
      </c>
      <c r="K72" s="2">
        <v>22</v>
      </c>
      <c r="L72" s="4">
        <v>-9.24</v>
      </c>
      <c r="M72" s="3" t="s">
        <v>19</v>
      </c>
    </row>
    <row r="73" spans="1:13" x14ac:dyDescent="0.3">
      <c r="A73" s="5" t="s">
        <v>125</v>
      </c>
      <c r="B73" s="5">
        <v>2023</v>
      </c>
      <c r="C73" s="6" t="s">
        <v>14</v>
      </c>
      <c r="D73" s="6" t="s">
        <v>45</v>
      </c>
      <c r="E73" s="6" t="s">
        <v>54</v>
      </c>
      <c r="F73" s="6" t="s">
        <v>17</v>
      </c>
      <c r="G73" s="7">
        <v>2571.12</v>
      </c>
      <c r="H73" s="7">
        <v>1335.74</v>
      </c>
      <c r="I73" s="6" t="s">
        <v>25</v>
      </c>
      <c r="J73" s="5">
        <v>27</v>
      </c>
      <c r="K73" s="5">
        <v>27</v>
      </c>
      <c r="L73" s="7">
        <v>-1235.3800000000001</v>
      </c>
      <c r="M73" s="6" t="s">
        <v>19</v>
      </c>
    </row>
    <row r="74" spans="1:13" x14ac:dyDescent="0.3">
      <c r="A74" s="2" t="s">
        <v>126</v>
      </c>
      <c r="B74" s="2">
        <v>2022</v>
      </c>
      <c r="C74" s="3" t="s">
        <v>21</v>
      </c>
      <c r="D74" s="3" t="s">
        <v>28</v>
      </c>
      <c r="E74" s="3" t="s">
        <v>29</v>
      </c>
      <c r="F74" s="3" t="s">
        <v>35</v>
      </c>
      <c r="G74" s="4">
        <v>114440.04</v>
      </c>
      <c r="H74" s="4">
        <v>85734.18</v>
      </c>
      <c r="I74" s="3" t="s">
        <v>25</v>
      </c>
      <c r="J74" s="2">
        <v>111</v>
      </c>
      <c r="K74" s="2">
        <v>111</v>
      </c>
      <c r="L74" s="4">
        <v>-28705.86</v>
      </c>
      <c r="M74" s="3" t="s">
        <v>19</v>
      </c>
    </row>
    <row r="75" spans="1:13" x14ac:dyDescent="0.3">
      <c r="A75" s="5" t="s">
        <v>127</v>
      </c>
      <c r="B75" s="5">
        <v>2023</v>
      </c>
      <c r="C75" s="6" t="s">
        <v>21</v>
      </c>
      <c r="D75" s="6" t="s">
        <v>15</v>
      </c>
      <c r="E75" s="6" t="s">
        <v>34</v>
      </c>
      <c r="F75" s="6" t="s">
        <v>90</v>
      </c>
      <c r="G75" s="7">
        <v>120155.2</v>
      </c>
      <c r="H75" s="7">
        <v>116652.83</v>
      </c>
      <c r="I75" s="6" t="s">
        <v>31</v>
      </c>
      <c r="J75" s="5">
        <v>79</v>
      </c>
      <c r="K75" s="5">
        <v>85</v>
      </c>
      <c r="L75" s="7">
        <v>-3502.37</v>
      </c>
      <c r="M75" s="6" t="s">
        <v>19</v>
      </c>
    </row>
    <row r="76" spans="1:13" x14ac:dyDescent="0.3">
      <c r="A76" s="2" t="s">
        <v>128</v>
      </c>
      <c r="B76" s="2">
        <v>2023</v>
      </c>
      <c r="C76" s="3" t="s">
        <v>14</v>
      </c>
      <c r="D76" s="3" t="s">
        <v>28</v>
      </c>
      <c r="E76" s="3" t="s">
        <v>54</v>
      </c>
      <c r="F76" s="3" t="s">
        <v>17</v>
      </c>
      <c r="G76" s="4">
        <v>964</v>
      </c>
      <c r="H76" s="4">
        <v>865.55</v>
      </c>
      <c r="I76" s="3" t="s">
        <v>31</v>
      </c>
      <c r="J76" s="2">
        <v>21</v>
      </c>
      <c r="K76" s="2">
        <v>24</v>
      </c>
      <c r="L76" s="4">
        <v>-98.45</v>
      </c>
      <c r="M76" s="3" t="s">
        <v>19</v>
      </c>
    </row>
    <row r="77" spans="1:13" x14ac:dyDescent="0.3">
      <c r="A77" s="8" t="s">
        <v>129</v>
      </c>
      <c r="B77" s="8">
        <v>2023</v>
      </c>
      <c r="C77" s="9" t="s">
        <v>27</v>
      </c>
      <c r="D77" s="9" t="s">
        <v>22</v>
      </c>
      <c r="E77" s="9" t="s">
        <v>67</v>
      </c>
      <c r="F77" s="9" t="s">
        <v>76</v>
      </c>
      <c r="G77" s="10">
        <v>345377.97</v>
      </c>
      <c r="H77" s="10">
        <v>318318.40999999997</v>
      </c>
      <c r="I77" s="9" t="s">
        <v>31</v>
      </c>
      <c r="J77" s="8">
        <v>118</v>
      </c>
      <c r="K77" s="8">
        <v>149</v>
      </c>
      <c r="L77" s="10">
        <v>-27059.56</v>
      </c>
      <c r="M77" s="11" t="s">
        <v>36</v>
      </c>
    </row>
    <row r="78" spans="1:13" x14ac:dyDescent="0.3">
      <c r="A78" s="2" t="s">
        <v>130</v>
      </c>
      <c r="B78" s="2">
        <v>2023</v>
      </c>
      <c r="C78" s="3" t="s">
        <v>27</v>
      </c>
      <c r="D78" s="3" t="s">
        <v>28</v>
      </c>
      <c r="E78" s="3" t="s">
        <v>67</v>
      </c>
      <c r="F78" s="3" t="s">
        <v>48</v>
      </c>
      <c r="G78" s="4">
        <v>41706.269999999997</v>
      </c>
      <c r="H78" s="4">
        <v>39882.480000000003</v>
      </c>
      <c r="I78" s="3" t="s">
        <v>31</v>
      </c>
      <c r="J78" s="2">
        <v>132</v>
      </c>
      <c r="K78" s="2">
        <v>130</v>
      </c>
      <c r="L78" s="4">
        <v>-1823.79</v>
      </c>
      <c r="M78" s="3" t="s">
        <v>19</v>
      </c>
    </row>
    <row r="79" spans="1:13" x14ac:dyDescent="0.3">
      <c r="A79" s="5" t="s">
        <v>131</v>
      </c>
      <c r="B79" s="5">
        <v>2022</v>
      </c>
      <c r="C79" s="6" t="s">
        <v>14</v>
      </c>
      <c r="D79" s="6" t="s">
        <v>33</v>
      </c>
      <c r="E79" s="6" t="s">
        <v>16</v>
      </c>
      <c r="F79" s="6" t="s">
        <v>30</v>
      </c>
      <c r="G79" s="7">
        <v>4625.87</v>
      </c>
      <c r="H79" s="7">
        <v>3626.44</v>
      </c>
      <c r="I79" s="6" t="s">
        <v>25</v>
      </c>
      <c r="J79" s="5">
        <v>23</v>
      </c>
      <c r="K79" s="5">
        <v>23</v>
      </c>
      <c r="L79" s="7">
        <v>-999.43</v>
      </c>
      <c r="M79" s="6" t="s">
        <v>19</v>
      </c>
    </row>
    <row r="80" spans="1:13" x14ac:dyDescent="0.3">
      <c r="A80" s="2" t="s">
        <v>132</v>
      </c>
      <c r="B80" s="2">
        <v>2024</v>
      </c>
      <c r="C80" s="3" t="s">
        <v>14</v>
      </c>
      <c r="D80" s="3" t="s">
        <v>22</v>
      </c>
      <c r="E80" s="3" t="s">
        <v>54</v>
      </c>
      <c r="F80" s="3" t="s">
        <v>90</v>
      </c>
      <c r="G80" s="4">
        <v>3307.84</v>
      </c>
      <c r="H80" s="4">
        <v>833.54</v>
      </c>
      <c r="I80" s="3" t="s">
        <v>25</v>
      </c>
      <c r="J80" s="2">
        <v>24</v>
      </c>
      <c r="K80" s="2">
        <v>24</v>
      </c>
      <c r="L80" s="4">
        <v>-2474.3000000000002</v>
      </c>
      <c r="M80" s="3" t="s">
        <v>19</v>
      </c>
    </row>
    <row r="81" spans="1:13" x14ac:dyDescent="0.3">
      <c r="A81" s="5" t="s">
        <v>133</v>
      </c>
      <c r="B81" s="5">
        <v>2023</v>
      </c>
      <c r="C81" s="6" t="s">
        <v>42</v>
      </c>
      <c r="D81" s="6" t="s">
        <v>28</v>
      </c>
      <c r="E81" s="6" t="s">
        <v>34</v>
      </c>
      <c r="F81" s="6" t="s">
        <v>17</v>
      </c>
      <c r="G81" s="7">
        <v>71210.899999999994</v>
      </c>
      <c r="H81" s="7">
        <v>63197.67</v>
      </c>
      <c r="I81" s="6" t="s">
        <v>31</v>
      </c>
      <c r="J81" s="5">
        <v>19</v>
      </c>
      <c r="K81" s="5">
        <v>15</v>
      </c>
      <c r="L81" s="7">
        <v>-8013.23</v>
      </c>
      <c r="M81" s="6" t="s">
        <v>19</v>
      </c>
    </row>
  </sheetData>
  <autoFilter ref="A1:M8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"/>
  <sheetViews>
    <sheetView tabSelected="1" zoomScaleNormal="100" workbookViewId="0">
      <selection activeCell="I9" sqref="I9"/>
    </sheetView>
  </sheetViews>
  <sheetFormatPr defaultColWidth="8.6640625" defaultRowHeight="14.4" x14ac:dyDescent="0.3"/>
  <cols>
    <col min="1" max="1" width="60" customWidth="1"/>
    <col min="2" max="2" width="48" customWidth="1"/>
    <col min="3" max="3" width="14" customWidth="1"/>
    <col min="4" max="4" width="14.5546875" customWidth="1"/>
    <col min="5" max="5" width="18.33203125" customWidth="1"/>
    <col min="6" max="7" width="5" customWidth="1"/>
  </cols>
  <sheetData>
    <row r="1" spans="1:9" ht="24" customHeight="1" x14ac:dyDescent="0.3">
      <c r="A1" s="12" t="s">
        <v>212</v>
      </c>
    </row>
    <row r="2" spans="1:9" ht="18" customHeight="1" x14ac:dyDescent="0.3">
      <c r="A2" s="13" t="s">
        <v>213</v>
      </c>
    </row>
    <row r="3" spans="1:9" ht="7.5" customHeight="1" x14ac:dyDescent="0.3"/>
    <row r="4" spans="1:9" ht="21.75" customHeight="1" x14ac:dyDescent="0.3">
      <c r="A4" s="14" t="s">
        <v>134</v>
      </c>
      <c r="B4" s="15"/>
      <c r="C4" s="15"/>
      <c r="D4" s="15"/>
      <c r="E4" s="15"/>
      <c r="F4" s="15"/>
      <c r="G4" s="15"/>
    </row>
    <row r="5" spans="1:9" ht="27.75" customHeight="1" x14ac:dyDescent="0.3">
      <c r="A5" s="16" t="s">
        <v>135</v>
      </c>
      <c r="B5" s="16" t="s">
        <v>136</v>
      </c>
      <c r="C5" s="16" t="s">
        <v>137</v>
      </c>
      <c r="D5" s="16" t="s">
        <v>138</v>
      </c>
      <c r="E5" s="16" t="s">
        <v>139</v>
      </c>
    </row>
    <row r="6" spans="1:9" ht="18" customHeight="1" x14ac:dyDescent="0.3">
      <c r="A6" s="17" t="s">
        <v>14</v>
      </c>
      <c r="B6" s="18">
        <f>COUNTIF(Contratos_Públicos!C:C,A6)</f>
        <v>30</v>
      </c>
      <c r="C6" s="19"/>
      <c r="D6" s="19">
        <f>SUMIF(Contratos_Públicos!C:C,A6,Contratos_Públicos!H:H)</f>
        <v>51920.17</v>
      </c>
      <c r="E6" s="20">
        <f>IF(C6=0,0,D6/C6)</f>
        <v>0</v>
      </c>
      <c r="I6" s="49" t="s">
        <v>214</v>
      </c>
    </row>
    <row r="7" spans="1:9" ht="18" customHeight="1" x14ac:dyDescent="0.3">
      <c r="A7" s="21" t="s">
        <v>42</v>
      </c>
      <c r="B7" s="22">
        <f>COUNTIF(Contratos_Públicos!C:C,A7)</f>
        <v>22</v>
      </c>
      <c r="C7" s="23"/>
      <c r="D7" s="23">
        <f>SUMIF(Contratos_Públicos!C:C,A7,Contratos_Públicos!H:H)</f>
        <v>587106.94000000006</v>
      </c>
      <c r="E7" s="24">
        <f>IF(C7=0,0,D7/C7)</f>
        <v>0</v>
      </c>
    </row>
    <row r="8" spans="1:9" ht="18" customHeight="1" x14ac:dyDescent="0.3">
      <c r="A8" s="17" t="s">
        <v>21</v>
      </c>
      <c r="B8" s="18">
        <f>COUNTIF(Contratos_Públicos!C:C,A8)</f>
        <v>15</v>
      </c>
      <c r="C8" s="19"/>
      <c r="D8" s="19">
        <f>SUMIF(Contratos_Públicos!C:C,A8,Contratos_Públicos!H:H)</f>
        <v>1101389.3499999999</v>
      </c>
      <c r="E8" s="20">
        <f>IF(C8=0,0,D8/C8)</f>
        <v>0</v>
      </c>
    </row>
    <row r="9" spans="1:9" ht="18" customHeight="1" x14ac:dyDescent="0.3">
      <c r="A9" s="21" t="s">
        <v>27</v>
      </c>
      <c r="B9" s="22">
        <f>COUNTIF(Contratos_Públicos!C:C,A9)</f>
        <v>13</v>
      </c>
      <c r="C9" s="23"/>
      <c r="D9" s="23">
        <f>SUMIF(Contratos_Públicos!C:C,A9,Contratos_Públicos!H:H)</f>
        <v>1909741.8800000001</v>
      </c>
      <c r="E9" s="24">
        <f>IF(C9=0,0,D9/C9)</f>
        <v>0</v>
      </c>
    </row>
    <row r="10" spans="1:9" ht="19.5" customHeight="1" x14ac:dyDescent="0.3">
      <c r="A10" s="25" t="s">
        <v>140</v>
      </c>
      <c r="B10" s="26">
        <f>SUM(B6:B9)</f>
        <v>80</v>
      </c>
      <c r="C10" s="27">
        <f>SUM(C6:C9)</f>
        <v>0</v>
      </c>
      <c r="D10" s="27">
        <f>SUM(D6:D9)</f>
        <v>3650158.34</v>
      </c>
      <c r="E10" s="28">
        <f>IF(C10=0,0,D10/C10)</f>
        <v>0</v>
      </c>
    </row>
    <row r="11" spans="1:9" ht="7.5" customHeight="1" x14ac:dyDescent="0.3"/>
    <row r="12" spans="1:9" ht="21.75" customHeight="1" x14ac:dyDescent="0.3">
      <c r="A12" s="14" t="s">
        <v>209</v>
      </c>
      <c r="B12" s="15"/>
      <c r="C12" s="15"/>
      <c r="D12" s="15"/>
      <c r="E12" s="15"/>
      <c r="F12" s="15"/>
      <c r="G12" s="15"/>
    </row>
    <row r="13" spans="1:9" ht="25.5" customHeight="1" x14ac:dyDescent="0.3">
      <c r="A13" s="16" t="s">
        <v>141</v>
      </c>
      <c r="B13" s="16" t="s">
        <v>4</v>
      </c>
      <c r="C13" s="16" t="s">
        <v>142</v>
      </c>
      <c r="D13" s="16" t="s">
        <v>136</v>
      </c>
    </row>
    <row r="14" spans="1:9" ht="18" customHeight="1" x14ac:dyDescent="0.3">
      <c r="A14" s="17" t="s">
        <v>42</v>
      </c>
      <c r="B14" s="17" t="s">
        <v>54</v>
      </c>
      <c r="C14" s="19">
        <f>SUMIFS(Contratos_Públicos!G:G,Contratos_Públicos!C:C,A14,Contratos_Públicos!E:E,B14)</f>
        <v>62642.789999999994</v>
      </c>
      <c r="D14" s="18">
        <f>COUNTIFS(Contratos_Públicos!C:C,A14,Contratos_Públicos!E:E,B14)</f>
        <v>3</v>
      </c>
    </row>
    <row r="15" spans="1:9" ht="18" customHeight="1" x14ac:dyDescent="0.3">
      <c r="A15" s="21" t="s">
        <v>14</v>
      </c>
      <c r="B15" s="21" t="s">
        <v>34</v>
      </c>
      <c r="C15" s="23">
        <f>SUMIFS(Contratos_Públicos!G:G,Contratos_Públicos!C:C,A15,Contratos_Públicos!E:E,B15)</f>
        <v>1477.1999999999998</v>
      </c>
      <c r="D15" s="22">
        <f>COUNTIFS(Contratos_Públicos!C:C,A15,Contratos_Públicos!E:E,B15)</f>
        <v>2</v>
      </c>
    </row>
    <row r="16" spans="1:9" ht="18" customHeight="1" x14ac:dyDescent="0.3">
      <c r="A16" s="29" t="s">
        <v>143</v>
      </c>
      <c r="B16" s="30"/>
      <c r="C16" s="30"/>
      <c r="D16" s="30"/>
    </row>
    <row r="17" spans="1:7" ht="18" customHeight="1" x14ac:dyDescent="0.3">
      <c r="A17" s="31" t="s">
        <v>143</v>
      </c>
      <c r="B17" s="32"/>
      <c r="C17" s="32"/>
      <c r="D17" s="32"/>
    </row>
    <row r="18" spans="1:7" ht="18" customHeight="1" x14ac:dyDescent="0.3">
      <c r="A18" s="29" t="s">
        <v>143</v>
      </c>
      <c r="B18" s="30"/>
      <c r="C18" s="30"/>
      <c r="D18" s="30"/>
    </row>
    <row r="19" spans="1:7" ht="7.5" customHeight="1" x14ac:dyDescent="0.3"/>
    <row r="20" spans="1:7" ht="21.75" customHeight="1" x14ac:dyDescent="0.3">
      <c r="A20" s="14" t="s">
        <v>144</v>
      </c>
      <c r="B20" s="15"/>
      <c r="C20" s="15"/>
      <c r="D20" s="15"/>
      <c r="E20" s="15"/>
      <c r="F20" s="15"/>
      <c r="G20" s="15"/>
    </row>
    <row r="21" spans="1:7" ht="21.75" customHeight="1" x14ac:dyDescent="0.3">
      <c r="A21" s="33" t="s">
        <v>145</v>
      </c>
      <c r="B21" s="33" t="s">
        <v>146</v>
      </c>
      <c r="C21" s="33" t="s">
        <v>147</v>
      </c>
    </row>
    <row r="22" spans="1:7" ht="18" customHeight="1" x14ac:dyDescent="0.3">
      <c r="A22" s="17" t="s">
        <v>148</v>
      </c>
      <c r="B22" s="34">
        <f>COUNTIF(Contratos_Públicos!M:M,"Sim")</f>
        <v>4</v>
      </c>
      <c r="C22" s="35" t="s">
        <v>149</v>
      </c>
    </row>
    <row r="23" spans="1:7" ht="18" customHeight="1" x14ac:dyDescent="0.3">
      <c r="A23" s="21" t="s">
        <v>150</v>
      </c>
      <c r="B23" s="36">
        <f>SUMIF(Contratos_Públicos!M:M,"Sim",Contratos_Públicos!G:G)</f>
        <v>436332.32999999996</v>
      </c>
      <c r="C23" s="37" t="s">
        <v>151</v>
      </c>
    </row>
    <row r="24" spans="1:7" ht="18" customHeight="1" x14ac:dyDescent="0.3">
      <c r="A24" s="17" t="s">
        <v>152</v>
      </c>
      <c r="B24" s="34">
        <f>COUNTIFS(Contratos_Públicos!C:C,"Ajuste Directo",Contratos_Públicos!M:M,"Sim")</f>
        <v>2</v>
      </c>
      <c r="C24" s="35" t="s">
        <v>210</v>
      </c>
    </row>
    <row r="25" spans="1:7" ht="18" customHeight="1" x14ac:dyDescent="0.3">
      <c r="A25" s="21" t="s">
        <v>153</v>
      </c>
      <c r="B25" s="36">
        <f>AVERAGE(Contratos_Públicos!G:G)</f>
        <v>61374.202249999995</v>
      </c>
      <c r="C25" s="37" t="s">
        <v>154</v>
      </c>
    </row>
    <row r="26" spans="1:7" ht="18" customHeight="1" x14ac:dyDescent="0.3">
      <c r="A26" s="17" t="s">
        <v>155</v>
      </c>
      <c r="B26" s="34">
        <f>COUNTIF(Contratos_Públicos!L:L,"&gt;0")</f>
        <v>10</v>
      </c>
      <c r="C26" s="35" t="s">
        <v>149</v>
      </c>
    </row>
    <row r="27" spans="1:7" ht="18" customHeight="1" x14ac:dyDescent="0.3">
      <c r="A27" s="21" t="s">
        <v>156</v>
      </c>
      <c r="B27" s="36">
        <f>SUMIF(Contratos_Públicos!I:I,"Suspenso",Contratos_Públicos!G:G)</f>
        <v>428469.72</v>
      </c>
      <c r="C27" s="37" t="s">
        <v>211</v>
      </c>
    </row>
    <row r="28" spans="1:7" ht="7.5" customHeight="1" x14ac:dyDescent="0.3"/>
    <row r="29" spans="1:7" ht="21.75" customHeight="1" x14ac:dyDescent="0.3">
      <c r="A29" s="14" t="s">
        <v>157</v>
      </c>
      <c r="B29" s="15"/>
      <c r="C29" s="15"/>
      <c r="D29" s="15"/>
      <c r="E29" s="15"/>
      <c r="F29" s="15"/>
      <c r="G29" s="15"/>
    </row>
    <row r="30" spans="1:7" ht="18" customHeight="1" x14ac:dyDescent="0.3">
      <c r="A30" s="38" t="s">
        <v>158</v>
      </c>
    </row>
    <row r="31" spans="1:7" ht="21.75" customHeight="1" x14ac:dyDescent="0.3">
      <c r="A31" s="39" t="s">
        <v>159</v>
      </c>
    </row>
    <row r="32" spans="1:7" ht="18" customHeight="1" x14ac:dyDescent="0.3">
      <c r="A32" s="40" t="s">
        <v>160</v>
      </c>
    </row>
    <row r="33" spans="1:7" ht="7.5" customHeight="1" x14ac:dyDescent="0.3"/>
    <row r="34" spans="1:7" ht="21.75" customHeight="1" x14ac:dyDescent="0.3">
      <c r="A34" s="41" t="s">
        <v>161</v>
      </c>
      <c r="B34" s="42"/>
      <c r="C34" s="42"/>
      <c r="D34" s="42"/>
      <c r="E34" s="42"/>
      <c r="F34" s="42"/>
      <c r="G34" s="42"/>
    </row>
    <row r="35" spans="1:7" ht="24" customHeight="1" x14ac:dyDescent="0.3">
      <c r="A35" s="43" t="s">
        <v>162</v>
      </c>
    </row>
    <row r="36" spans="1:7" ht="24" customHeight="1" x14ac:dyDescent="0.3">
      <c r="A36" s="44" t="s">
        <v>163</v>
      </c>
    </row>
    <row r="37" spans="1:7" ht="24" customHeight="1" x14ac:dyDescent="0.3">
      <c r="A37" s="43" t="s">
        <v>164</v>
      </c>
    </row>
    <row r="38" spans="1:7" ht="24" customHeight="1" x14ac:dyDescent="0.3">
      <c r="A38" s="44" t="s">
        <v>165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80" customWidth="1"/>
  </cols>
  <sheetData>
    <row r="1" spans="1:2" ht="24" customHeight="1" x14ac:dyDescent="0.3">
      <c r="A1" s="45" t="s">
        <v>166</v>
      </c>
    </row>
    <row r="2" spans="1:2" ht="18" customHeight="1" x14ac:dyDescent="0.3">
      <c r="A2" s="46"/>
      <c r="B2" s="47"/>
    </row>
    <row r="3" spans="1:2" ht="18" customHeight="1" x14ac:dyDescent="0.3">
      <c r="A3" s="48" t="s">
        <v>167</v>
      </c>
      <c r="B3" s="47" t="s">
        <v>168</v>
      </c>
    </row>
    <row r="4" spans="1:2" ht="18" customHeight="1" x14ac:dyDescent="0.3">
      <c r="A4" s="48" t="s">
        <v>169</v>
      </c>
      <c r="B4" s="47" t="s">
        <v>170</v>
      </c>
    </row>
    <row r="5" spans="1:2" ht="18" customHeight="1" x14ac:dyDescent="0.3">
      <c r="A5" s="48" t="s">
        <v>171</v>
      </c>
      <c r="B5" s="47" t="s">
        <v>172</v>
      </c>
    </row>
    <row r="6" spans="1:2" ht="18" customHeight="1" x14ac:dyDescent="0.3">
      <c r="A6" s="48" t="s">
        <v>173</v>
      </c>
      <c r="B6" s="47" t="s">
        <v>174</v>
      </c>
    </row>
    <row r="7" spans="1:2" ht="18" customHeight="1" x14ac:dyDescent="0.3">
      <c r="A7" s="46"/>
      <c r="B7" s="47"/>
    </row>
    <row r="8" spans="1:2" ht="18" customHeight="1" x14ac:dyDescent="0.3">
      <c r="A8" s="48" t="s">
        <v>175</v>
      </c>
      <c r="B8" s="47" t="s">
        <v>176</v>
      </c>
    </row>
    <row r="9" spans="1:2" ht="18" customHeight="1" x14ac:dyDescent="0.3">
      <c r="A9" s="48" t="s">
        <v>177</v>
      </c>
      <c r="B9" s="47" t="s">
        <v>178</v>
      </c>
    </row>
    <row r="10" spans="1:2" ht="18" customHeight="1" x14ac:dyDescent="0.3">
      <c r="A10" s="46" t="s">
        <v>179</v>
      </c>
      <c r="B10" s="47" t="s">
        <v>180</v>
      </c>
    </row>
    <row r="11" spans="1:2" ht="18" customHeight="1" x14ac:dyDescent="0.3">
      <c r="A11" s="46"/>
      <c r="B11" s="47"/>
    </row>
    <row r="12" spans="1:2" ht="18" customHeight="1" x14ac:dyDescent="0.3">
      <c r="A12" s="48" t="s">
        <v>181</v>
      </c>
      <c r="B12" s="47" t="s">
        <v>182</v>
      </c>
    </row>
    <row r="13" spans="1:2" ht="18" customHeight="1" x14ac:dyDescent="0.3">
      <c r="A13" s="48" t="s">
        <v>183</v>
      </c>
      <c r="B13" s="47" t="s">
        <v>184</v>
      </c>
    </row>
    <row r="14" spans="1:2" ht="18" customHeight="1" x14ac:dyDescent="0.3">
      <c r="A14" s="48" t="s">
        <v>185</v>
      </c>
      <c r="B14" s="47" t="s">
        <v>186</v>
      </c>
    </row>
    <row r="15" spans="1:2" ht="18" customHeight="1" x14ac:dyDescent="0.3">
      <c r="A15" s="48" t="s">
        <v>187</v>
      </c>
      <c r="B15" s="47" t="s">
        <v>188</v>
      </c>
    </row>
    <row r="16" spans="1:2" ht="18" customHeight="1" x14ac:dyDescent="0.3">
      <c r="A16" s="46"/>
      <c r="B16" s="47"/>
    </row>
    <row r="17" spans="1:2" ht="18" customHeight="1" x14ac:dyDescent="0.3">
      <c r="A17" s="48" t="s">
        <v>189</v>
      </c>
      <c r="B17" s="47" t="s">
        <v>190</v>
      </c>
    </row>
    <row r="18" spans="1:2" ht="18" customHeight="1" x14ac:dyDescent="0.3">
      <c r="A18" s="46"/>
      <c r="B18" s="47"/>
    </row>
    <row r="19" spans="1:2" ht="18" customHeight="1" x14ac:dyDescent="0.3">
      <c r="A19" s="48" t="s">
        <v>191</v>
      </c>
      <c r="B19" s="47"/>
    </row>
    <row r="20" spans="1:2" ht="18" customHeight="1" x14ac:dyDescent="0.3">
      <c r="A20" s="46" t="s">
        <v>192</v>
      </c>
      <c r="B20" s="47" t="s">
        <v>193</v>
      </c>
    </row>
    <row r="21" spans="1:2" ht="18" customHeight="1" x14ac:dyDescent="0.3">
      <c r="A21" s="46" t="s">
        <v>194</v>
      </c>
      <c r="B21" s="47" t="s">
        <v>195</v>
      </c>
    </row>
    <row r="22" spans="1:2" ht="18" customHeight="1" x14ac:dyDescent="0.3">
      <c r="A22" s="46" t="s">
        <v>196</v>
      </c>
      <c r="B22" s="47" t="s">
        <v>197</v>
      </c>
    </row>
    <row r="23" spans="1:2" ht="18" customHeight="1" x14ac:dyDescent="0.3">
      <c r="A23" s="46" t="s">
        <v>198</v>
      </c>
      <c r="B23" s="47" t="s">
        <v>199</v>
      </c>
    </row>
    <row r="24" spans="1:2" ht="18" customHeight="1" x14ac:dyDescent="0.3">
      <c r="A24" s="46"/>
      <c r="B24" s="47"/>
    </row>
    <row r="25" spans="1:2" ht="18" customHeight="1" x14ac:dyDescent="0.3">
      <c r="A25" s="48" t="s">
        <v>200</v>
      </c>
      <c r="B25" s="47"/>
    </row>
    <row r="26" spans="1:2" ht="18" customHeight="1" x14ac:dyDescent="0.3">
      <c r="A26" s="46" t="s">
        <v>201</v>
      </c>
      <c r="B26" s="47" t="s">
        <v>202</v>
      </c>
    </row>
    <row r="27" spans="1:2" ht="18" customHeight="1" x14ac:dyDescent="0.3">
      <c r="A27" s="46" t="s">
        <v>203</v>
      </c>
      <c r="B27" s="47" t="s">
        <v>204</v>
      </c>
    </row>
    <row r="28" spans="1:2" ht="18" customHeight="1" x14ac:dyDescent="0.3">
      <c r="A28" s="46" t="s">
        <v>205</v>
      </c>
      <c r="B28" s="47" t="s">
        <v>206</v>
      </c>
    </row>
    <row r="29" spans="1:2" ht="18" customHeight="1" x14ac:dyDescent="0.3">
      <c r="A29" s="46" t="s">
        <v>207</v>
      </c>
      <c r="B29" s="47" t="s">
        <v>208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Contratos_Públicos</vt:lpstr>
      <vt:lpstr>Análise</vt:lpstr>
      <vt:lpstr>Resolução_Docente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Nuno Filipe Pereira Salvador</cp:lastModifiedBy>
  <cp:revision>0</cp:revision>
  <dcterms:created xsi:type="dcterms:W3CDTF">2026-02-28T21:46:36Z</dcterms:created>
  <dcterms:modified xsi:type="dcterms:W3CDTF">2026-03-10T19:09:55Z</dcterms:modified>
  <dc:language>en-US</dc:language>
</cp:coreProperties>
</file>